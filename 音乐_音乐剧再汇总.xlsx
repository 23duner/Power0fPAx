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s>
  <sheetData>
    <row r="1" ht="13" customHeight="1">
      <c r="A1" s="1" t="inlineStr">
        <is>
          <t>歌名</t>
        </is>
      </c>
      <c r="B1" s="1" t="inlineStr">
        <is>
          <t>发布年份</t>
        </is>
      </c>
      <c r="C1" s="1" t="inlineStr">
        <is>
          <t>发布时间</t>
        </is>
      </c>
      <c r="D1" s="1" t="inlineStr">
        <is>
          <t>歌词</t>
        </is>
      </c>
      <c r="E1" s="1" t="inlineStr">
        <is>
          <t>制作信息</t>
        </is>
      </c>
      <c r="F1" s="1" t="inlineStr">
        <is>
          <t>创作初心/歌曲描述</t>
        </is>
      </c>
      <c r="G1" s="1" t="inlineStr">
        <is>
          <t>专辑/单曲/EP</t>
        </is>
      </c>
      <c r="H1" s="1" t="inlineStr">
        <is>
          <t>MV</t>
        </is>
      </c>
      <c r="I1" s="1" t="inlineStr">
        <is>
          <t>官摄/MV链接2</t>
        </is>
      </c>
      <c r="J1" s="1" t="inlineStr">
        <is>
          <t>音频链接</t>
        </is>
      </c>
      <c r="K1" s="1" t="inlineStr">
        <is>
          <t>demo</t>
        </is>
      </c>
      <c r="L1" s="1" t="inlineStr">
        <is>
          <t>合作</t>
        </is>
      </c>
      <c r="M1" s="1" t="inlineStr">
        <is>
          <t>封面</t>
        </is>
      </c>
      <c r="N1" s="1" t="inlineStr">
        <is>
          <t>原创/作词/作曲/合作创作</t>
        </is>
      </c>
      <c r="O1" s="1" t="inlineStr">
        <is>
          <t>父记录</t>
        </is>
      </c>
      <c r="P1" s="1" t="inlineStr">
        <is>
          <t>备注</t>
        </is>
      </c>
      <c r="Q1" s="1" t="inlineStr">
        <is>
          <t>补充</t>
        </is>
      </c>
      <c r="R1" s="1" t="inlineStr">
        <is>
          <t>补充/网盘</t>
        </is>
      </c>
    </row>
    <row r="2" ht="25.5" customHeight="1">
      <c r="A2" t="inlineStr">
        <is>
          <t>INTRO:唤</t>
        </is>
      </c>
      <c r="B2" t="inlineStr">
        <is>
          <t>2025</t>
        </is>
      </c>
      <c r="C2" s="2">
        <v>45804</v>
      </c>
      <c r="D2" t="inlineStr">
        <is>
          <t>（纯音乐）</t>
        </is>
      </c>
      <c r="E2" t="inlineStr">
        <is>
          <t>作曲 : 白举纲</t>
        </is>
      </c>
      <c r="F2" t="inlineStr">
        <is>
          <t>穿越虚妄之国
抵达浪漫之地
突破流派框架 以想象力为马
音乐为罗盘 转动命运魔方
摇滚骑士的音乐冒险之旅
在荒野中找寻爱与救赎
白举纲第五张全新创作专辑《荒野爱人》，在混沌与动荡之间起航，碰撞于荒谬不安之间，徘徊于现实秘境的过程，好比一次切身的魔方解谜。方向难觅，险境丛生，并无退路。在此生命的荒野之间，乘骑上想象力这匹骏马，踏入这场冒险。
出道以来十二年的征途，勇于置身探索与挑战，即是白举纲不断进化的音乐人格。而在不同阶段的每一次蜕变，他都能呈现出与过往不同的面貌与态度——荒野通途，以爱救赎，在终于到来的《荒野爱人》里，所有过往的姿态锤炼成自由与浪漫共铸的诗篇，内含亲历的过往与深意的体悟。
充满力量感的摇滚底色与泠冽的电气元素碰撞，同时又有希望游索的抒情穿梭于听感之间，《荒野爱人》在“虚妄之国”与“浪漫之地”的两面场域中与以往的白举纲更有不同。更具国际视野的 Art Rock 编排，交叉于气质满满的另类电子之间；抒情写作则不落俗套，在轻量感中呈现私密感的情绪色彩。追寻更新的表达方式，却又能在细致的平衡中，体会到白举纲音乐里一如既往的情绪与力度。
这是一次站在险阻通途之中的体验，伴随多元、夸张与先锋感的整体听觉；同时亦致力于在虚无中寻找光明的缝隙，留下听众们足以共鸣和支撑的细腻。不拘于单一风格框架，不注目于平浅的窠臼叙事，“荒野爱人”的真谛是即使身处于荒无之境，仍不停下追寻爱的脚步。锐利的虚妄之国与缱绻的浪漫之地一体两面，在沉心与坚信之间，总能走到温柔的彼岸——爱是一次自我的修行，而在荒野的终点，是携爱而现的绿洲。
上篇：《虚妄之国》</t>
        </is>
      </c>
      <c r="G2" t="inlineStr">
        <is>
          <t>荒野爱人</t>
        </is>
      </c>
      <c r="H2" s="3"/>
      <c r="I2" s="3"/>
      <c r="J2" t="inlineStr">
        <is>
          <t>白举纲《INTRO: 唤》https://c6.y.qq.com/base/fcgi-bin/u?__=OYKIutQOMFtZ @QQ音乐</t>
        </is>
      </c>
      <c r="K2"/>
      <c r="L2"/>
      <c r="M2" t="inlineStr">
        <is>
          <t>image.png</t>
        </is>
      </c>
      <c r="N2" t="inlineStr">
        <is>
          <t>原创</t>
        </is>
      </c>
      <c r="O2" s="3"/>
      <c r="P2"/>
      <c r="Q2" s="3"/>
      <c r="R2"/>
    </row>
    <row r="3" ht="25.5" customHeight="1">
      <c r="A3" t="inlineStr">
        <is>
          <t>垃圾国国王</t>
        </is>
      </c>
      <c r="B3" t="inlineStr">
        <is>
          <t>2025</t>
        </is>
      </c>
      <c r="C3" s="2">
        <v>45804</v>
      </c>
      <c r="D3" t="inlineStr">
        <is>
          <t>
谁
一直在奔跑
如果悬崖注定在前方
那就把坠落
当做是飞翔
又是谁
一直被遗忘
无声怒吼是 一声枪响
焚烧了过往
灰烬落在脸上
废弃的种子奋力
刺破土壤
千万尘埃
每个发烫
废墟之上
决定今夜绽放
让我们高举双手
高呼自由
把星空烧成粗糙河流
用力攥紧拳头
砸向头顶的苍穹
越破碎 越纯粹
越执迷 越不悔
他人怎能将我击溃
不如再 多些 撕心 裂肺
越沉醉 越无畏
贪嗔痴 将我定位
我不信命 由天收尾
这一回 不笑 不叹 不悔
我
我们都一样
支离破碎中 野蛮生长
疼痛的形状
是我的模样
废弃的种子奋力
刺破土壤
千万尘埃
每个发烫
废墟之上
决定今夜绽放
让我们高举双手
高呼自由
把星空烧成粗糙河流
用力攥紧拳头
砸向头顶的苍穹
越破碎 越纯粹
越执迷 越不悔
他人怎能将我击溃
不如再 多些 撕心 裂肺
越沉醉 越无畏
贪嗔痴 将我定位
我不信命 由天收尾
这一回 不笑 不叹 不悔
越破碎 越纯粹
越执迷 越不悔
他人怎能将我击溃
不如再 多些 撕心 裂肺
越沉醉 越无畏
贪嗔痴 将我定位
不信命 由天收尾
这一回 不笑 不叹 不悔</t>
        </is>
      </c>
      <c r="E3" t="inlineStr">
        <is>
          <t>曲：白举纲
编曲：张星/白举纲/郑仕伟
吉他贝斯：张星
古典吉他：胡仕泽
录音室：加壹味音乐工作室
录音：郑仕伟
混音：Nikita Tretiakov
母带：Adam Grover
制作人：白举纲
出品方：腾讯音乐娱乐集团x白举纲工作室
出品人：陈默Silence
联合出品人：白举纲
总监制：冯亚莉Molly/薛映红梅
项目监制：赵娜/龚雷
A&amp;R企划：坏东西企划@BastardStudio
宣传营销：李彤/陈婉昕</t>
        </is>
      </c>
      <c r="F3" t="inlineStr">
        <is>
          <t>五专主打曲《垃圾国国王》他来了！(•ω•)♫
我有过“丢掉了”自己的时候，我有过想要守护的勇气却“破碎掉”的时候，我有过在无数次奋力前行后却还是“否定”自己的时候。
那些都是真实的我。
过去的我选择了像丢掉垃圾一样丢掉那些被遗忘的美好。
这一次我选择更勇敢和坚定的接受那个流泪的自己，忧郁的自己，高举双手去创造属于自己的王国，哪怕就一瞬火花，那也是亮的惊心动魄的自己！
那些疼痛的形状、嘶哑的绽放、粗糙却汹涌的星河，都在告诉你，你是自己的主宰。去成为自己的国王吧！(๑•̀ㅂ•́)و✧
在废墟的裂缝里
种出最锋利的自由
如果世界将你定义为“废弃品”
你是否敢把灰烬揉成王冠
这是一首属于所有被抛弃者的颂歌。你是否曾有被认为是“垃圾”的时刻？伤痕下是新生萌发之处，废墟之间有即将刺破荒芜、破土生长的种子，在这首充满戏剧感的艺术摇滚曲目里，白举纲突围于命运的荒谬，寻找人生不被定义的可能性。震碎枷锁，向死而生。
新派重型带来电影配乐一般的绝境临场感，如口号一般重复、锐利而充满力度的副歌，史诗一般的古典吉他Riff划破荒凉，在野蛮广袤的场域中破出一道前行的道路，照亮万道尘埃。铃铛声对应召唤，脚步声对应高举双手，破碎炸裂声对应砸碎苍穹，古典吉他的Riff从头贯穿到尾，是主角内心从始至终的坚定和勇敢。没有规则捆缚，即使身处危险仍无所畏惧，攥紧拳头。
被焚烧的过往并非终点，而是如火焰般燃烧的生命力之绵延。荒芜与浪漫相向而生的场域，映射着每个人的面影。坚韧的躯壳与强大的内心相互支撑，那些疼痛的形状、嘶哑的绽放、粗糙却汹涌的星河，都在告诉你，你是自己的国王。</t>
        </is>
      </c>
      <c r="G3" t="inlineStr">
        <is>
          <t>荒野爱人</t>
        </is>
      </c>
      <c r="H3" s="3" t="str">
        <f>=HYPERLINK("http://t.cn/A6e2Nutr", "http://t.cn/A6e2Nutr")</f>
        <v>http://t.cn/A6e2Nutr</v>
      </c>
      <c r="I3" s="3"/>
      <c r="J3" t="inlineStr">
        <is>
          <t>白举纲《垃圾国国王》https://c6.y.qq.com/base/fcgi-bin/u?__=pXRqTIQOMq0H @QQ音乐</t>
        </is>
      </c>
      <c r="K3"/>
      <c r="L3"/>
      <c r="M3" t="inlineStr">
        <is>
          <t>image.png</t>
        </is>
      </c>
      <c r="N3" t="inlineStr">
        <is>
          <t>原创</t>
        </is>
      </c>
      <c r="O3" s="3"/>
      <c r="P3"/>
      <c r="Q3" s="3"/>
      <c r="R3"/>
    </row>
    <row r="4" ht="25.5" customHeight="1">
      <c r="A4" t="inlineStr">
        <is>
          <t>撒野</t>
        </is>
      </c>
      <c r="B4" t="inlineStr">
        <is>
          <t>2025</t>
        </is>
      </c>
      <c r="C4" s="2">
        <v>45804</v>
      </c>
      <c r="D4" t="inlineStr">
        <is>
          <t>
浓雾入夜
荆棘入梦割裂
魂魄跌进血月
神迹混合拙劣
命运才重叠
请察觉
一切有解
人人却陷纠结
山顶那颗巨石压垮又回捡
如星辰落荒野
生命没有序列
别迷恋混沌
山的意义是翻越
哪怕走错世界
错过的结从不解
千万年后也不消不解
不灭
活着全凭一场直觉
哪怕来日洪水滔天
我也撒野
弗届
一星花火落地不是幻觉
烧开荒野
因果崩裂
当天穹盖荒野
众生服从生灭
万象伏大千
寄生在呼吸之间
宁愿抛弃时间
把体验变成溯延
千万年后也不消不解
不灭
活着全凭一场直觉
哪怕来日洪水滔天
我也撒野
弗届
一星花火落地不是幻觉
烧开荒野
因果崩裂
有人拼命赌
赢一切
有人离场还把灯熄灭
有人参悟生死悬念
有人趁黑夜胡乱告解
既如露
又如电
梦幻泡影凝结成引线
不如点燃
窜到云间
千万年后也不消不解
不灭
活着全凭一场直觉
哪怕来日洪水滔天我也撒野
弗届
一星花火落地不是幻觉
烧开荒野
因果崩裂</t>
        </is>
      </c>
      <c r="E4" t="inlineStr">
        <is>
          <t>词：李青
曲：白举纲
编曲：Jordan Fish/白举纲
吉他贝斯：郑仕伟/Jordan Fish
古筝：王冰洁
录音室：加壹味音乐工作室
工程整理：郑仕伟
混音：Sam Guaiana
母带：Ted Jensen
制作人：白举纲/Jordan Fish
出品方：腾讯音乐娱乐集团x白举纲工作室
出品人：陈默Silence
联合出品人：白举纲
总监制：冯亚莉Molly/薛映红梅
项目监制：赵娜/龚雷
A&amp;R企划：坏东西企划@BastardStudio
宣传营销：李彤/陈婉昕</t>
        </is>
      </c>
      <c r="F4" t="inlineStr">
        <is>
          <t>燎原者无需被世界理解
烧开荒野的人最先看见黎明
《撒野》在 Jordan Fish 的协力合作中带来重击一般的听感体验，在重型元素与传统乐器之间透荡出勇气与倔强。电气感与古筝相间，仿佛荒野与江湖相接，穿行之间需要敢于撒野的气魄。成为燎原者，哪怕走错世界，哪怕只有直觉。
白举纲意图向乐迷传达的，是不惧来日洪水滔天的信念，翻越千山万水，勇往直前。充满“硬”质感的整体编排拥有荡气回肠的侠客气概，细节感扎实的听感穿梭于场域变幻之间，赌徒、离场者、禅师擦身而过，而我们即在这服从生灭的众生间撒野，把体验变成溯延。</t>
        </is>
      </c>
      <c r="G4" t="inlineStr">
        <is>
          <t>荒野爱人</t>
        </is>
      </c>
      <c r="H4" s="3"/>
      <c r="I4" s="3"/>
      <c r="J4" t="inlineStr">
        <is>
          <t>白举纲《撒野》https://c6.y.qq.com/base/fcgi-bin/u?__=YxsbvMQOMprM @QQ音乐</t>
        </is>
      </c>
      <c r="K4"/>
      <c r="L4"/>
      <c r="M4" t="inlineStr">
        <is>
          <t>image.png</t>
        </is>
      </c>
      <c r="N4" t="inlineStr">
        <is>
          <t>原创</t>
        </is>
      </c>
      <c r="O4" s="3"/>
      <c r="P4"/>
      <c r="Q4" s="3"/>
      <c r="R4"/>
    </row>
    <row r="5" ht="25.5" customHeight="1">
      <c r="A5" t="inlineStr">
        <is>
          <t>回下勾上</t>
        </is>
      </c>
      <c r="B5" t="inlineStr">
        <is>
          <t>2025</t>
        </is>
      </c>
      <c r="C5" s="2">
        <v>45804</v>
      </c>
      <c r="D5" t="inlineStr">
        <is>
          <t>尘土空中升起
脚下漫不经意
随性穿梭于人群
有人星夜等雨
有人孤身离去
千种愚妄
都有目的地
空降神明的肩膀
翻人潮起海浪
角斗士的勋章
被重新擦亮
对折逃避的地方
是新大陆方向
把过去和未来的风
都吹得
浩浩荡荡
神明一声不响
参不透虚妄
抓住风的心脏
撕开拥挤的光
荒野里疯长
命数在争抢
堆积着渴望
拼凑成魔方
得分
回下勾上
闭眼跟我生长
先要打碎方向
停止无意义的消亡
有人重塑天光
有人一场接一场
迷恋沉沦
体面收场
空降神明的肩膀
翻人潮起海浪
角斗士的勋章
被重新擦亮
对折逃避的地方
是新大陆方向
把过去和未来的风
都吹得
浩浩荡荡
神明一声不响
参不透虚妄
抓住风的心脏
撕开拥挤的光
荒野里疯长
命数在争抢
堆积着渴望
拼凑成魔方
得分
回下勾上
得分
回下勾上
神明一声不响
参不透虚妄
抓住风的心脏
撕开拥挤的光
荒野里疯长
命数在争抢
堆积着渴望
拼凑成魔方
得分
回下勾上</t>
        </is>
      </c>
      <c r="E5" t="inlineStr">
        <is>
          <t>词：白举纲/李青
曲：白举纲
编曲：Jordan Fish/白举纲
吉他贝斯：郑仕伟/Jordan Fish
录音室：加壹味音乐工作室
工程整理：郑仕伟
混音：Sam Guaiana
母带：Ted Jensen
制作人：白举纲/Jordan Fish
出品方：腾讯音乐娱乐集团x白举纲工作室
出品人：陈默Silence
联合出品人：白举纲
总监制：冯亚莉Molly/薛映红梅
项目监制：赵娜/龚雷
A&amp;R企划：坏东西企划@BastardStudio
宣传营销：李彤/陈婉昕</t>
        </is>
      </c>
      <c r="F5" t="inlineStr">
        <is>
          <t>有人困守雨夜的泥泞
有人撕开人群的茧房
我们踩着虚妄的棱角跳舞
对折逃避的地方
直视对混沌的渴望
“回下勾上”是缠斗的动作，也是生长的动态。碰撞、撕扯是纠结的过程，也是身处现实荒谬里最为真实的解密体验。就如怀揣着试错心态的抉择，拼凑出前行方向的迷茫摸索，反复与坚持本身即是在“命运魔方”里进行解谜的过程。
无论是穿行于不确定、不理解或是不安全的氛围与环境里，怀揣逆风生长的野心与冲破混沌的渴望，总会找到撕开天光一缝的出口。生长的历程是一次修行，正果即为对爱的理解，懂得爱人之理即为救赎的完成。新专辑《荒野爱人》从首支单曲《回下勾上》出发，也在于对自己的信念与坚守。那些让我们感到错杂的混沌时刻，何尝不是在我们学会爱的路途之间途径的荒野？
这首由白举纲全程参与词曲编创作制作的曲目，是他成长历练的切身理解，也在李青协力作词、摇滚乐大拿Jordan Fish合作编曲中拥有了更为成熟的面貌。钢琴与合成器的构架，电气感和摇滚底色透出的力度，《回下勾上》仿佛是重拳一击，也是角斗士面对人群的宣告。坚信前路，救赎与勇气即会是你的勋章。从《回下勾上》开始，让生命从泥沼中破土。</t>
        </is>
      </c>
      <c r="G5" t="inlineStr">
        <is>
          <t>荒野爱人</t>
        </is>
      </c>
      <c r="H5" s="3"/>
      <c r="I5" s="3"/>
      <c r="J5" t="inlineStr">
        <is>
          <t>白举纲《回下勾上》https://c6.y.qq.com/base/fcgi-bin/u?__=jNzisxQOMhUs @QQ音乐</t>
        </is>
      </c>
      <c r="K5"/>
      <c r="L5"/>
      <c r="M5" t="inlineStr">
        <is>
          <t>image.png</t>
        </is>
      </c>
      <c r="N5" t="inlineStr">
        <is>
          <t>原创</t>
        </is>
      </c>
      <c r="O5" s="3"/>
      <c r="P5"/>
      <c r="Q5" s="3"/>
      <c r="R5"/>
    </row>
    <row r="6" ht="25.5" customHeight="1">
      <c r="A6" t="inlineStr">
        <is>
          <t>呆若木鱼</t>
        </is>
      </c>
      <c r="B6" t="inlineStr">
        <is>
          <t>2025</t>
        </is>
      </c>
      <c r="C6" s="2">
        <v>45804</v>
      </c>
      <c r="D6" t="inlineStr">
        <is>
          <t>万念归一 化作莲花
念声无挂 语落如麻
身如走马 心似浮沙
开口即破 闭眼观它
破我的执念 碎我的空相
缠我的旧识 化我的无常
火中照影 水里生香
归零存档 地裂生光
敲啊敲 敲破烦恼壳
敲啊敲 敲出因源因果自己安
敲碎昨日焦虑山
敲响明日宇宙船
敲他 敲己 敲块入世敲门砖
敲啊敲 敲到他 地老天荒卷
敲啊敲 敲到他也星河流转慢
敲开永恒 须臾岸
敲醒轮回 梦中观
敲啊敲 敲出人间 游戏番
敲乱时光 运转的浆
看人间 戏台亮
嗯 万念归一化作莲花
嗯 念声无挂语落如麻
嗯 身如走马心似浮沙
嗯 开口即破闭眼观它
嗯 万念归一化作莲花
嗯 念声无挂语落如麻
嗯 身如走马心似浮沙
嗯 开口即破闭眼观它
万念归一 化作莲花
念声无挂 语落如麻
身如走马 心似浮沙
开口即破 闭眼观它
破我的执念 碎我的空相
缠我的旧识 化我的无常
火中照影 水里生香
归零存档 地裂生光
敲啊敲 敲破烦恼壳
敲啊敲 敲出因源因果自己安
敲碎昨日焦虑山
敲响明日宇宙船
敲他 敲己 敲块入世敲门砖
敲啊敲 敲到他 地老天荒卷
敲啊敲 敲到他也星河流转慢
敲开永恒 须臾岸
敲醒轮回 梦中观
敲啊敲 敲出人间 游戏番
嗯 万念归一化作莲花
嗯 念声无挂语落如麻
嗯 身如走马心似浮沙
嗯 开口即破闭眼观它
嗯 万念归一化作莲花
嗯 念声无挂语落如麻
嗯 身如走马心似浮沙
嗯 开口即破闭眼观它
万念归一 化作莲花
念声无挂 语落如麻
身如走马 心似浮沙
开口即破 闭眼观它
破我的执念 碎我的空相
缠我的旧识 化我的无常
火中照影 水里生香
归零存档 地裂生光</t>
        </is>
      </c>
      <c r="E6" t="inlineStr">
        <is>
          <t>词：白举纲
曲：白举纲
编曲：DOUDOU
小打：DOUDOU
中阮：白举纲
吉他贝斯：郑仕伟/白举纲
和声：DOUDOU
录音：郑仕伟
录音室：加壹味音乐工作室
混音：Nikita Tretiakov
母带：TedJensen
制作人：DOUDOU/白举纲
出品方：腾讯音乐娱乐集团x白举纲工作室
出品人：陈默Silence
联合出品人：白举纲
总监制：冯亚莉Molly/薛映红梅
项目监制：赵娜/龚雷
A&amp;R企划：坏东西企划@BastardStudio
宣传营销：李彤/陈婉昕</t>
        </is>
      </c>
      <c r="F6" t="inlineStr">
        <is>
          <t>寻找都市生活里的禅意时刻，在钢筋密林与霓虹灯光中修行。木鱼声响在白举纲亲自演绎的中阮中浮现，来自 DOUDOU 的打击乐和电子则让这场“出神”的旅程更穿行在瞬息万变的场域之间——从流行金属的硬朗，世界音乐感的吟唱与打击音色，Trance 重击节奏，糅杂出万花筒一般移步换景的变化感。
敲走烦恼，敲出智慧，功德积攒在松弛下来的脑海，让焦虑与乏闷在“清空”的过程中消失不见。传统配器与当代感强烈的音色碰撞，仿佛在有限的卧室场域中探入想象力的宇宙，DOUDOU 的独立感让飘出疲惫世俗的过程更添一片层次，白举纲在旋律里呈现的洒脱则是“精神上的活人”的极致体现。</t>
        </is>
      </c>
      <c r="G6" t="inlineStr">
        <is>
          <t>荒野爱人</t>
        </is>
      </c>
      <c r="H6" s="3"/>
      <c r="I6" s="3"/>
      <c r="J6" t="inlineStr">
        <is>
          <t>白举纲《呆若木鱼》https://c6.y.qq.com/base/fcgi-bin/u?__=QlVnnZQOMg3r @QQ音乐</t>
        </is>
      </c>
      <c r="K6"/>
      <c r="L6"/>
      <c r="M6" t="inlineStr">
        <is>
          <t>image.png,image.png</t>
        </is>
      </c>
      <c r="N6" t="inlineStr">
        <is>
          <t>原创</t>
        </is>
      </c>
      <c r="O6" s="3"/>
      <c r="P6"/>
      <c r="Q6" s="3"/>
      <c r="R6"/>
    </row>
    <row r="7" ht="25.5" customHeight="1">
      <c r="A7" t="inlineStr">
        <is>
          <t>战神</t>
        </is>
      </c>
      <c r="B7" t="inlineStr">
        <is>
          <t>2025</t>
        </is>
      </c>
      <c r="C7" s="2">
        <v>45804</v>
      </c>
      <c r="D7" t="inlineStr">
        <is>
          <t>龚琳娜：
吟唱
白举纲：
月亮母亲
请你指引我
请你指引我
山林 川泽 浓雾
不迷途
有你不迷途
太阳母亲
请你指引我
请你指引我
烈炎 风暴 尘土
不迷途
有你不迷途
龚琳娜：
嘿呀咿耶嘿咿耶
呀咿耶咿耶咿呀咿耶
白举纲：
月亮母亲
请你指引我
请你指引我
山林 川泽 浓雾
不迷途
有你不迷途
太阳母亲
请你指引我
请你指引我
烈炎 风暴 尘土
不迷途
有你不迷途
母亲啊母亲
请你指引我
合：
哎嘿呀咿呀呜
哎嘿呀咿呀呜
龚琳娜：
天空啊天空
请不要沉默
合：
你变换颜色
也能指引着 (我)
龚琳娜：
大海啊大海
请不要沉默
合：
你卷起风浪
也能指引着 (我)
【当】号角刺破夜幕
【当】群山唤醒万物
【当】命运沾满了破灭的尘土
【当】号角刺破夜幕
【当】群山唤醒万物
【当】命运沾满尘土
无胜无败儿归何处
哎嘿呀咿呀呜
哎嘿呀咿呀呜
龚琳娜：
晨光中 臂弯里
战鼓拆线 编战衣
编作摇篮曲
白举纲：
当号角刺破夜幕
当群山唤醒万物
当命运沾满尘土
无胜无败儿归何处
龚琳娜：
归来吧
白举纲：
请你指引我 指引我
龚琳娜：
归家啊 归家
合：
请你指引我
白举纲：
指引我
龚琳娜：
天空啊天空
请不要沉默
白举纲：
你变换颜色
也能指引我
龚琳娜：
大海啊大海
合：
请不要沉默
白举纲：
你卷起风浪
也能指引我
龚琳娜：
哎嘿呀咿呀呜
白举纲：
天空啊请你不要沉默
龚琳娜：
哎嘿呀咿呀呜
白举纲：
大海啊请你不要沉默
月亮母亲
请你指引我
请你指引我
山林 川泽 浓雾
不迷途
有你不迷途
太阳母亲
请你指引我
请你指引我
烈炎 风暴 尘土
不迷途
有你不迷途</t>
        </is>
      </c>
      <c r="E7" t="inlineStr">
        <is>
          <t>词：白举纲
曲：白举纲
编曲：郑仕伟
吉他贝斯：郑仕伟
呼麦/马头琴：哈拉木吉
和声：宁桓宇/白举纲
录音室：加壹味音乐工作室
工程整理：郑仕伟
混音：Nikita Tretiakov
母带：Adam Grover
制作人：白举纲
出品方：腾讯音乐娱乐集团x白举纲工作室
出品人：陈默Silence
联合出品人：白举纲
总监制：冯亚莉Molly/薛映红梅
项目监制：赵娜/龚雷
A&amp;R企划：坏东西企划@BastardStudio
宣传营销：李彤/陈婉昕</t>
        </is>
      </c>
      <c r="F7" t="inlineStr">
        <is>
          <t>去年在羌寨听到了五拍子羊皮鼓且在了解它的意义之后，回到家第一件事就用这个节奏型做了五转四的两分半小样，直到今天成品发布，龚老师的声音在温暖、思念和有力中来回切换，让这首歌的情感更加完整了！
《战神》送给大家！
遇而战，战亦神！</t>
        </is>
      </c>
      <c r="G7" t="inlineStr">
        <is>
          <t>荒野爱人</t>
        </is>
      </c>
      <c r="H7" s="3"/>
      <c r="I7" s="3"/>
      <c r="J7" t="inlineStr">
        <is>
          <t>白举纲/龚琳娜《战神》https://c6.y.qq.com/base/fcgi-bin/u?__=2r5YylQOMNwe @QQ音乐</t>
        </is>
      </c>
      <c r="K7"/>
      <c r="L7" t="inlineStr">
        <is>
          <t>龚琳娜</t>
        </is>
      </c>
      <c r="M7" t="inlineStr">
        <is>
          <t>image.png</t>
        </is>
      </c>
      <c r="N7" t="inlineStr">
        <is>
          <t>原创</t>
        </is>
      </c>
      <c r="O7" s="3"/>
      <c r="P7"/>
      <c r="Q7" s="3"/>
      <c r="R7"/>
    </row>
    <row r="8" ht="25.5" customHeight="1">
      <c r="A8" t="inlineStr">
        <is>
          <t>别丢掉做傻子的力气</t>
        </is>
      </c>
      <c r="B8" t="inlineStr">
        <is>
          <t>2025</t>
        </is>
      </c>
      <c r="C8" s="2">
        <v>45804</v>
      </c>
      <c r="D8" t="inlineStr">
        <is>
          <t>我这呐
短暂的一生
做了好些个
不切实际的梦
这梦呐
是被上锁的窗
几厘米厚度
反复练习着张望
那几个
荒唐涌进的想法
如今一个一个
都灭掉了
艳阳天
阴影下
连做傻子的力气
都用光啦
漂泊的人
还想飞去哪儿呢
明明知道
又握不住
为何不松开那
紧握的手
无法承受
世间痛苦的小孩
你正在
不作声响的
长大
爱自己
锈迹斑斑的身体
也爱这世间
就算他沉默
没有回答
那几个
荒唐涌进的想法
如今一个一个
都灭掉了
艳阳天
阴影下
连做傻子的力气
都用光啦
漂泊的人
还要飞去远方
错过太阳
又怎样
还有那满天星光
等着我啊
等着我啊
等着我啊
等我好吗
等我好吗
等我好吗
好吗
好啊
别丢掉做傻子的力气
别丢掉做傻子的力气
我以灰烬拼凑的身体
不会发光 发亮
平平常常</t>
        </is>
      </c>
      <c r="E8" t="inlineStr">
        <is>
          <t>词：白举纲
曲：白举纲
编曲：郑仕伟
吉他贝斯：郑仕伟
小号：宋涞
录音棚：加壹味音乐工作室
录音混音：郑仕伟
母带：Ted Jensen
制作人：白举纲/郑仕伟
弦乐录制：国际首席爱乐乐团
弦乐录音棚：金田录音棚
弦乐录音师：王小四
出品方：腾讯音乐娱乐集团x白举纲工作室
出品人：陈默Silence
联合出品人：白举纲
总监制：冯亚莉Molly/薛映红梅
项目监制：赵娜/龚雷
A&amp;R企划：坏东西企划@BastardStudio
宣传营销：李彤/陈婉昕</t>
        </is>
      </c>
      <c r="F8" t="inlineStr">
        <is>
          <t>现实总想磨平我们的棱角，但总有些“傻子”偏要留着天真和世界硬碰硬。
现实世界在荒诞中充斥着冷漠，逐渐消磨我们赤子之心的狂想。功利心让我们离“傻子”越来越远，却在面对自我时也毫无力气，甚至没有底气再一次仰望星空——漂泊的人，还要飞去远方，可离开了往日的理想，我们是否还能追逐星光？当自己的身体已经锈迹斑斑，感受到曾经荒唐涌进的少年遐想一点点磨灭，我们可会感受到世间正在被沉默侵蚀？
在冰冷现实的另一端，有一个久远的声音仍在回响，别丢掉做傻子的力气。世界痛苦的小孩正在不作声响地长大，我们却试图破开世俗标准上锁的窗，想再成为曾经在艳阳天、阴影下的“傻子”。如果成长让这些轻狂终究会流走，我希望我们永远不松开那紧握的手，把那一份力气拼出一点留存。</t>
        </is>
      </c>
      <c r="G8" t="inlineStr">
        <is>
          <t>荒野爱人</t>
        </is>
      </c>
      <c r="H8" s="3"/>
      <c r="I8" s="3"/>
      <c r="J8" t="inlineStr">
        <is>
          <t>白举纲《别丢掉做傻子的力气》https://c6.y.qq.com/base/fcgi-bin/u?__=Qbo8xRQOMtpe @QQ音乐</t>
        </is>
      </c>
      <c r="K8"/>
      <c r="L8"/>
      <c r="M8" t="inlineStr">
        <is>
          <t>image.png</t>
        </is>
      </c>
      <c r="N8" t="inlineStr">
        <is>
          <t>原创</t>
        </is>
      </c>
      <c r="O8" s="3"/>
      <c r="P8"/>
      <c r="Q8" s="3"/>
      <c r="R8"/>
    </row>
    <row r="9" ht="25.5" customHeight="1">
      <c r="A9" t="inlineStr">
        <is>
          <t>半</t>
        </is>
      </c>
      <c r="B9" t="inlineStr">
        <is>
          <t>2025</t>
        </is>
      </c>
      <c r="C9" s="2">
        <v>45804</v>
      </c>
      <c r="D9" t="inlineStr">
        <is>
          <t>（前奏采自肖邦离别曲）
淋一半雨
晒一半晴
拿一半我
拥一半你
愿一半是相信
余一半是莫及
半颗心
搁下目的地
荒野里
自由是孤寂
半个梦
造出的光景
刻着你
荒芜岸
等你作伴
寂静畔
海岸分割一半
半个梦
造出的光景
你我各一半
淋一半雨
晒一半晴
拿一半我
拥一半你
愿一半是相信
余一半是莫及
半颗心
搁下目的地
荒野里
自由是孤寂
半个梦
造出的光景
刻着你
荒芜岸
等你作伴
寂静畔
海岸分割一半
半个梦
造出的光景
你我各一半</t>
        </is>
      </c>
      <c r="E9" t="inlineStr">
        <is>
          <t>词：白举纲
曲：白举纲
编曲：张星
大提琴：欧阳娜娜
钢琴：张星/肖安翔
录音室：加壹味音乐工作室
录音工程整理：郑仕伟
混音：赵靖
母带：Ted Jensen
制作人：白举纲
弦乐录制：国际首席爱乐乐团
录音棚：九紫天诚录音棚
录音师：岳艮
出品方：腾讯音乐娱乐集团x白举纲工作室
出品人：陈默Silence
联合出品人：白举纲
总监制：冯亚莉Molly/薛映红梅
项目监制：赵娜/龚雷
A&amp;R企划：坏东西企划@BastardStudio
宣传营销：李彤/陈婉昕</t>
        </is>
      </c>
      <c r="F9" t="inlineStr">
        <is>
          <t>这“半”等的是心弦颤动，填满灵魂的缺口
这“半”也是你我不期而至的序章，半梦半醒间已圆满相遇
怀揣着一半的心徐徐前行于梦境与真实之间的海水浮波，流行爵士的优雅自持与新古典的轻盈空灵在交融与舞动间找到了那个留给你我相遇的场域。超脱于现实感的琴键在弦乐之上似是在半梦半醒里留下了确信的光景，跨越时空的一次相触抵达了完满。
自由有时是带着半颗心放逐远方的荒野独行，荒芜海岸的灯塔遥远可辨，寻找的答案与方向或许早就明晰，与这“半”相对的另“半”已经逐渐走近。找寻者的征途已是真心明确的归途，不论冥冥，我们知道各一半的彼此会相遇。</t>
        </is>
      </c>
      <c r="G9" t="inlineStr">
        <is>
          <t>荒野爱人</t>
        </is>
      </c>
      <c r="H9" s="3"/>
      <c r="I9" s="3"/>
      <c r="J9" t="inlineStr">
        <is>
          <t>白举纲《半》https://c6.y.qq.com/base/fcgi-bin/u?__=3OKxVoQOM3GA @QQ音乐</t>
        </is>
      </c>
      <c r="K9"/>
      <c r="L9"/>
      <c r="M9" t="inlineStr">
        <is>
          <t>image.png,image.png</t>
        </is>
      </c>
      <c r="N9" t="inlineStr">
        <is>
          <t>原创</t>
        </is>
      </c>
      <c r="O9" s="3"/>
      <c r="P9"/>
      <c r="Q9" s="3"/>
      <c r="R9"/>
    </row>
    <row r="10" ht="25.5" customHeight="1">
      <c r="A10" t="inlineStr">
        <is>
          <t>Lucky Boy（旺崽）</t>
        </is>
      </c>
      <c r="B10" t="inlineStr">
        <is>
          <t>2025</t>
        </is>
      </c>
      <c r="C10" s="2">
        <v>45804</v>
      </c>
      <c r="D10" t="inlineStr">
        <is>
          <t>当 我睁开眼
当 世界浮现
当 我决定和你一起去冒险
一 起爬山巅
一 起躺草原
一 起看太阳落到地球另一边
去云里 抱紧你
去荒诞 里游行
虚度时光都变得有意义
去土星 打游戏
去海底 说愿意
去你眼中的每个目的地
和你一起发呆
再跳起舞来
半夜睡不着
发疯陪你去嗨
醉成两个小孩
再撞进星海
收拾乱糟糟的家
也会期待
啊呀咿呀咿呀咿呀咿呀呜呜
咿咿呀咿呀咿呀咿呀呜呜
咿咿呀咿呀咿呀咿呀咿呀呜呜
咿咿呀呜呜咿咿呀呜呜
当 星星落进手掌
当 潮汐没过眼眶
当 你说要带我摘云朵的软糖
一 起来数星砂
一 起再画晚霞
一 起把月亮装进口袋 装回家
去云里 抱紧你
去荒诞 里游行
虚度时光都变得有意义
去土星 打游戏
去海底 说愿意
去你眼中的每个目的地
和你一起发呆
再跳起舞来
半夜睡不着
发疯陪你去嗨
醉成两个小孩
再撞进星海
收拾乱糟糟的家
也会期待
啊呀咿呀咿呀咿呀咿呀呜呜
咿咿呀咿呀咿呀咿呀呜呜
咿咿呀咿呀咿呀咿呀咿呀呜呜
咿咿呀呜呜咿咿呀呜呜
啊呀咿呀咿呀咿呀咿呀呜呜
咿咿呀咿呀咿呀咿呀呜呜
咿咿呀咿呀咿呀咿呀咿呀呜呜
咿咿呀呜呜咿咿呀呜呜</t>
        </is>
      </c>
      <c r="E10" t="inlineStr">
        <is>
          <t>词：白举纲
曲：白举纲
编曲：白举纲
吉他：白举纲/郑仕伟
贝斯：白举纲
鼓：殷之豪
录音室：加壹味音乐工作室
混音：Sam Guaiana
母带：Ted Jensen
制作人：白举纲
出品方：腾讯音乐娱乐集团x白举纲工作室
出品人：陈默Silence
联合出品人：白举纲
总监制：冯亚莉Molly/薛映红梅
项目监制：赵娜/龚雷
A&amp;R企划：坏东西企划@BastardStudio
宣传营销：李彤/陈婉昕</t>
        </is>
      </c>
      <c r="F10" t="inlineStr">
        <is>
          <t>出发吧！
目的地是你眼中的整个宇宙！
躁动冲撞、配器直简的 Garage Punk，散发着浪漫感的夏日感 Dream Pop 合成器，青春的气焰与烂漫在世界在这座巨大的游乐场中膨胀。活在当下，享受此刻，“浪费”才叫青春，冒险才是正事，“旺崽”的一切“出格”都合理，因为我们本身就是通往所有疯狂的通行证。
在《Lucky Boy（旺崽）》这首由白举纲词曲编全包的夏日甜歌里，我们似乎不再执迷于虚无的纠结，而终于有勇气跳跃进原本属于我们的宇宙中——从睁开眼的那一刻开始，我们可以把月亮装进口袋带回家，可以把云朵摘下，去疯，去浪，世界本是我们冒险的主场！</t>
        </is>
      </c>
      <c r="G10" t="inlineStr">
        <is>
          <t>荒野爱人</t>
        </is>
      </c>
      <c r="H10" s="3" t="str">
        <f>=HYPERLINK("http://t.cn/A6ejnrec", "http://t.cn/A6ejnrec")</f>
        <v>http://t.cn/A6ejnrec</v>
      </c>
      <c r="I10" s="3"/>
      <c r="J10" t="inlineStr">
        <is>
          <t>白举纲《Lucky Boy（旺崽）》https://c6.y.qq.com/base/fcgi-bin/u?__=aCba8FQOM0RY @QQ音乐</t>
        </is>
      </c>
      <c r="K10" t="inlineStr">
        <is>
          <t>http://t.cn/A6QTGC5g</t>
        </is>
      </c>
      <c r="L10"/>
      <c r="M10" t="inlineStr">
        <is>
          <t>image.png,image.png</t>
        </is>
      </c>
      <c r="N10" t="inlineStr">
        <is>
          <t>原创</t>
        </is>
      </c>
      <c r="O10" s="3"/>
      <c r="P10"/>
      <c r="Q10" s="3"/>
      <c r="R10"/>
    </row>
    <row r="11" ht="25.5" customHeight="1">
      <c r="A11" t="inlineStr">
        <is>
          <t>忘了你之前</t>
        </is>
      </c>
      <c r="B11" t="inlineStr">
        <is>
          <t>2025</t>
        </is>
      </c>
      <c r="C11" s="2">
        <v>45804</v>
      </c>
      <c r="D11" t="inlineStr">
        <is>
          <t>忘了你之前
夜幕拉上是闭上眼
月色撩人啊
你眼眸闪烁
若隐若现
忘了你是谁
时间止不住
拉我往回
那就让我
暂且忘了
这世界的规则
深陷一次
你拥吻中
让我忘了
那也就忘了
让我忘了
那也就忘了
忘了你之前
先直视太阳
去闭上眼
如此耀眼
遇见的方式
无数次预演
忘了你是谁
时间止不住
拉我往回
那就让我
暂且忘了
这世界的规则
深陷一次
你拥吻中
让我忘了
那也就忘了
让我忘了
那也就忘了
那就让我
和你忘了
这世界的规则
深陷一次
你拥吻中
让我忘了
那也就忘了
让我忘了
那也就忘了
当你出现
我的世界
开始耀眼</t>
        </is>
      </c>
      <c r="E11" t="inlineStr">
        <is>
          <t>词：白举纲
曲：白举纲
编曲：张星
吉他贝斯：张星
钢琴：张星/白举纲
鼓：辛易
录音室：加壹味音乐工作室
工程整理：郑仕伟
混音：Nik Tretiakov
母带：Ted Jensen
制作人：白举纲
出品方：腾讯音乐娱乐集团x白举纲工作室
出品人：陈默Silence
联合出品人：白举纲
总监制：冯亚莉Molly/薛映红梅
项目监制：赵娜/龚雷
A&amp;R企划：坏东西企划@BastardStudio
宣传营销：李彤/陈婉昕</t>
        </is>
      </c>
      <c r="F11" t="inlineStr">
        <is>
          <t>撕掉原有的规则，就这样深陷于你的拥抱中
容我再贪看一眼，记住遇见你时的轰然心跳
键盘与响指积累的复古放克带着金色的光波平添一份浪漫，Nu Disco 律动在绽放的铜管和微醺感旋律中留下只属于当下的眩晕——《忘了你之前》是意图抓住此刻、只留在此刻的一次“出神”，也仿佛乍然地清醒，想要跳脱出世界的规则，只沉醉在一个只有彼此的拥抱或亲吻。
反复徘徊的记忆回潮，总让应该被忘记的某一刻再次刷新。在这首带着暧昧与欣喜的放克小品里，一次意料之外而挥之不去的邂逅仿佛是那么地令人奋不顾身，“忘了就忘了”是否真的可以那么轻松，一次次只想在“忘了你之前”再次感受世界开始摇曳的那一瞬，似乎早已解答了一切。</t>
        </is>
      </c>
      <c r="G11" t="inlineStr">
        <is>
          <t>荒野爱人</t>
        </is>
      </c>
      <c r="H11" s="3"/>
      <c r="I11" s="3"/>
      <c r="J11" t="inlineStr">
        <is>
          <t>白举纲《忘了你之前》https://c6.y.qq.com/base/fcgi-bin/u?__=Kwsaf9QOMGTS @QQ音乐</t>
        </is>
      </c>
      <c r="K11"/>
      <c r="L11"/>
      <c r="M11" t="inlineStr">
        <is>
          <t>image.png,image.png</t>
        </is>
      </c>
      <c r="N11" t="inlineStr">
        <is>
          <t>原创</t>
        </is>
      </c>
      <c r="O11" s="3"/>
      <c r="P11"/>
      <c r="Q11" s="3"/>
      <c r="R11"/>
    </row>
    <row r="12" ht="25.5" customHeight="1">
      <c r="A12" t="inlineStr">
        <is>
          <t>一指间的距离</t>
        </is>
      </c>
      <c r="B12" t="inlineStr">
        <is>
          <t>2025</t>
        </is>
      </c>
      <c r="C12" s="2">
        <v>45804</v>
      </c>
      <c r="D12" t="inlineStr">
        <is>
          <t>白举纲：
Lover
Please come to me
你像远处
飘渺的云
Lover
Come to me
散尽气力
包裹你
胡夏：
怕手臂弧度
会将你
轮廓打破
怕身体温热
会将你
拥散了
连同呼吸
静止在此刻
白举纲：
想要触碰
无声的梦
是怎样的你
每一次靠近
呼吸都止于一指间的距离
胡夏：
想要触碰
不可及的梦
咫尺的温柔
坍缩成黑洞
黑洞尽头若能拥抱你
我就
合：
自由
Lover
Please come to me
凝视你
忘了自己
Lover
Come to me
怕是梦境
虚幻难寻
怕手臂弧度
会将你
轮廓打破
怕身体温热
会将你
拥散了
白举纲：
连同呼吸
静止在此刻
胡夏：
想要触碰
白举纲：
无声的梦
合：
是怎样的你
每一次靠近
呼吸都止于一指间的距离
白举纲：
想要触碰
胡夏：
不可及的梦
合：
咫尺的温柔
坍缩成黑洞
黑洞尽头若能拥抱你
我就
白举纲：
自由
胡夏：
想要触碰
不可及的梦
白举纲：
咫尺的温柔
坍缩成黑洞
合：
黑洞尽头若能拥抱你
我就
自由</t>
        </is>
      </c>
      <c r="E12" t="inlineStr">
        <is>
          <t>词：白举纲
曲：白举纲
编曲：莫芷铭/郑仕伟/白举纲
吉他贝斯：郑仕伟
混音：Nikita Tretiakov
母带：Ted Jensen
制作人：白举纲
出品方：腾讯音乐娱乐集团x白举纲工作室
出品人：陈默Silence
联合出品人：白举纲
总监制：冯亚莉Molly/薛映红梅
项目监制：赵娜/龚雷
A&amp;R企划：坏东西企划@BastardStudio
宣传营销：李彤/陈婉昕</t>
        </is>
      </c>
      <c r="F12" t="inlineStr">
        <is>
          <t>当《一指间的距离》进入到第一次录音时，我在制作过程中，脑子里出现了一个干净又温暖的声音，那个声音，就是现在老胡的歌声。感谢老胡胡@胡夏 的加入。
无论是炙热的太阳或温婉的月光，都有他独特的爱你的方式。每个人就像宇宙中的独立星辰。爱，是一种的动态。太近怕崩塌，太远会想念。面对“爱”的课题，我们在成长中练习。这是一份珍视。
《荒野爱人》这张专辑中，我和老胡胡合作的《一指间的距离》希望大家喜欢，愿我们都能拥有被小心翼翼呵护的爱。</t>
        </is>
      </c>
      <c r="G12" t="inlineStr">
        <is>
          <t>荒野爱人</t>
        </is>
      </c>
      <c r="H12" s="3"/>
      <c r="I12" s="3"/>
      <c r="J12" t="inlineStr">
        <is>
          <t>白举纲/胡夏《一指间的距离》https://c6.y.qq.com/base/fcgi-bin/u?__=cCX7RqQOMz1O @QQ音乐</t>
        </is>
      </c>
      <c r="K12"/>
      <c r="L12" t="inlineStr">
        <is>
          <t>胡夏</t>
        </is>
      </c>
      <c r="M12" t="inlineStr">
        <is>
          <t>image.png</t>
        </is>
      </c>
      <c r="N12" t="inlineStr">
        <is>
          <t>原创</t>
        </is>
      </c>
      <c r="O12" s="3"/>
      <c r="P12"/>
      <c r="Q12" s="3"/>
      <c r="R12"/>
    </row>
    <row r="13" ht="25.5" customHeight="1">
      <c r="A13" t="inlineStr">
        <is>
          <t>一指间的距离 (白举纲版)</t>
        </is>
      </c>
      <c r="B13" t="inlineStr">
        <is>
          <t>2025</t>
        </is>
      </c>
      <c r="C13" s="2">
        <v>45804</v>
      </c>
      <c r="D13" t="inlineStr">
        <is>
          <t>Lover
Please come to me
你像远处
飘渺的云
Lover
Come to me
散尽气力
包裹你
怕手臂弧度
会将你
轮廓打破
怕身体温热
会将你
拥散了
连同呼吸
静止在此刻
想要触碰
无声的梦
是怎样的你
每一次靠近
呼吸都止于一指间的距离
想要触碰
不可及的梦
咫尺的温柔
坍缩成黑洞
黑洞尽头若能拥抱你
我就
自由
Lover
Please come to me
凝视你
忘了自己
Lover
Come to me
怕是梦境
虚幻难寻
怕手臂弧度
会将你
轮廓打破
怕身体温热
会将你
拥散了
连同呼吸
静止在此刻
想要触碰
无声的梦
是怎样的你
每一次靠近
呼吸都止于一指间的距离
想要触碰
不可及的梦
咫尺的温柔
坍缩成黑洞
黑洞尽头若能拥抱你
我就
自由
想要触碰
不可及的梦
咫尺的温柔
坍缩成黑洞
黑洞尽头若能拥抱你
我就
自由</t>
        </is>
      </c>
      <c r="E13" t="inlineStr">
        <is>
          <t>词：白举纲
曲：白举纲
编曲：莫芷铭/郑仕伟/白举纲
吉他贝斯：郑仕伟
混音：Nikita Tretiakov
母带：Ted Jensen
制作人：白举纲
出品方：腾讯音乐娱乐集团x白举纲工作室
出品人：陈默Silence
联合出品人：白举纲
总监制：冯亚莉Molly/薛映红梅
项目监制：赵娜/龚雷
A&amp;R企划：坏东西企划@BastardStudio
宣传营销：李彤/陈婉昕</t>
        </is>
      </c>
      <c r="F13" t="inlineStr">
        <is>
          <t>当世界坠向尽头
能否换一次真实相拥
“触不到的恋人，是最近的爱，最远的星。”
在原声吉他与 Synth Pad 的温柔中拨开世界的迷雾，白举纲具有金属芯质感的声音与胡夏如和风飘拂的音色交织穿插，在 Pop Rock 与 Indie Band Sound 错杂呈现的梦境中带来场景变化的独特感受，一如宇宙探索与星辰悬坠。触不到的恋人，仿佛即是黑洞边界那颗已经逐渐走远的星。
《一指间的距离》仿佛是站在宇宙时空一端朝另一边际的眺望，在一声声“Lover, come to me”的呼唤中只有更远的距离，空留念想燃烧于浩瀚的静默。这份难以触及的爱也就如星辰一样，可察觉、可凝视，可随之拥有内心波动，却只停留在想象的轮廓里。遗憾与渴望化为心中悸动，未完成的拥抱与汹涌的自由之间只有一指间的距离。</t>
        </is>
      </c>
      <c r="G13" t="inlineStr">
        <is>
          <t>荒野爱人</t>
        </is>
      </c>
      <c r="H13" s="3"/>
      <c r="I13" s="3"/>
      <c r="J13" t="inlineStr">
        <is>
          <t>白举纲《一指间的距离 (白举纲版)》https://c6.y.qq.com/base/fcgi-bin/u?__=5Va7aUQOMyDl @QQ音乐</t>
        </is>
      </c>
      <c r="K13"/>
      <c r="L13"/>
      <c r="M13" t="inlineStr">
        <is>
          <t>image.png</t>
        </is>
      </c>
      <c r="N13" t="inlineStr">
        <is>
          <t>原创</t>
        </is>
      </c>
      <c r="O13" s="3"/>
      <c r="P13"/>
      <c r="Q13" s="3"/>
      <c r="R13"/>
    </row>
    <row r="14" ht="25.5" customHeight="1">
      <c r="A14" t="inlineStr">
        <is>
          <t>谜题</t>
        </is>
      </c>
      <c r="B14" t="inlineStr">
        <is>
          <t>2025</t>
        </is>
      </c>
      <c r="C14" s="2">
        <v>45804</v>
      </c>
      <c r="D14" t="inlineStr">
        <is>
          <t>所有地图 都失去了意义
你是我心里 深处的谜底
如何握住落下的雨滴
像握不住 离开的你
搁浅的潮汐已经褪去
可为何想你仍有迹可循
循着泡沫破灭的轨迹
沉入海底找到你
沉入海底找到你
想就这样把你握紧
绝不会迟疑
把全世界
都交给你
在时间的缝隙
呼喊你姓名
答案是你
就不算
就不算
谜题
想念让人忘记了呼吸
梦里也在不停的追寻
放弃了思索 义无反顾的靠近
沉入你背影 没过我姓名
沉入海底找到你
想就这样把你握紧
绝不会迟疑
把全世界
都交给你
在时间的缝隙
呼喊你姓名
答案是你
就不算
就不算
谜题
想就这样把你握紧
绝不会迟疑
把全世界
都交给你
在时间的缝隙
呼喊你姓名
答案是你
就不算
谜题</t>
        </is>
      </c>
      <c r="E14" t="inlineStr">
        <is>
          <t>词：白举纲/Maggie/杨静一
曲：白举纲
编曲：Jordan Fish/郑仕伟/白举纲
吉他贝斯：郑仕伟/Jordan Fish
录音室：加壹味音乐工作室
工程整理：郑仕伟
混音：Nikita Tretiakov
母带：Ted Jensen
制作人：白举纲/Jordan Fish
出品方：腾讯音乐娱乐集团x白举纲工作室
出品人：陈默Silence
联合出品人：白举纲
总监制：冯亚莉Molly/薛映红梅
项目监制：赵娜/龚雷
A&amp;R企划：坏东西企划@BastardStudio
宣传营销：李彤/陈婉昕</t>
        </is>
      </c>
      <c r="F14" t="inlineStr">
        <is>
          <t>答案是你，就不算谜题
一首由 Jordan Fish 与白举纲共同呈现的另类流行，《谜题》从犹如海浪冲撞的 Bell 开场，在徜徉飘零的弦乐带来的广阔感中逐渐下潜、前行——白举纲在这首充满自述感的曲目中化身为找寻者，在不确定之间尝试找到那个由一个人的面庞所组成的谜底。
当你紧握那个“答案”，深海不再是深渊，昼夜的缝隙里都回响着清晰的姓名。随着配器带来的层次逐渐饱满，我们似乎也在听感的进展中逐渐接近海底——这是在迷茫之间尝试验证的过程，由真心和信念拥有了意义。所有谜题只因一人成立，也因一人瓦解，谜底逐渐清晰，是因为坚信答案会是你。</t>
        </is>
      </c>
      <c r="G14" t="inlineStr">
        <is>
          <t>荒野爱人</t>
        </is>
      </c>
      <c r="H14" s="3"/>
      <c r="I14" s="3"/>
      <c r="J14" t="inlineStr">
        <is>
          <t>白举纲《谜题》https://c6.y.qq.com/base/fcgi-bin/u?__=iTMfAaQOML0G @QQ音乐</t>
        </is>
      </c>
      <c r="K14"/>
      <c r="L14"/>
      <c r="M14" t="inlineStr">
        <is>
          <t>image.png,image.png</t>
        </is>
      </c>
      <c r="N14" t="inlineStr">
        <is>
          <t>原创</t>
        </is>
      </c>
      <c r="O14" s="3"/>
      <c r="P14"/>
      <c r="Q14" s="3"/>
      <c r="R14"/>
    </row>
    <row r="15" ht="25.5" customHeight="1">
      <c r="A15" t="inlineStr">
        <is>
          <t>傻树</t>
        </is>
      </c>
      <c r="B15" t="inlineStr">
        <is>
          <t>2025</t>
        </is>
      </c>
      <c r="C15" s="2">
        <v>45804</v>
      </c>
      <c r="D15" t="inlineStr">
        <is>
          <t>小小你啊
头顶泥巴
要开出花
深埋大地
依然在寻觅
热闹的足迹
伸出手臂
在风中拥抱
孤单的痕迹
闭上眼睛
能嗅到
海的气息
你这棵傻树啊
鸟儿才能去远方
扎根越深年轮叠长
紧实地缠在身上
你向天空挥手
说“那是我好朋友”
你指着那朵云
说“那是我向往的梦”
打包那道彩虹
把它装进被窝枕头
把枝桠抛向太空
“做一生自由的梦”
傻树
是我
傻树
是你
喜欢聆听
这风吹过
树梢的声音
把耳朵贴近
风的胸膛
听她的呼吸
树叶间隙的光晕
是天空的回应吗
那些努力看世界的
种子
正发芽
你这棵傻树啊
鸟儿才能去远方
扎根越深年轮叠长
紧实地缠在身上
你向天空挥手
说“那是我好朋友”
你指着那朵云
说“那是我向往的梦”
打包那道彩虹
把它装进被窝枕头
把枝桠抛向太空
“做一生自由的梦”
傻树
是我
傻树
是你</t>
        </is>
      </c>
      <c r="E15" t="inlineStr">
        <is>
          <t>词：白举纲
曲：白举纲
编曲：郭小峰
钢琴：郭小峰
录音室：加壹味音乐工作室
录音工程整理：郑仕伟
混音：Nikita Tretiakov
母带：Ted Jensen
弦乐录制：国际首席爱乐乐团
录音棚：九紫天诚录音棚
录音师：岳艮
制作人：白举纲
出品方：腾讯音乐娱乐集团x白举纲工作室
出品人：陈默Silence
联合出品人：白举纲
总监制：冯亚莉Molly/薛映红梅
项目监制：赵娜/龚雷
A&amp;R企划：坏东西企划@BastardStudio
宣传营销：李彤/陈婉昕</t>
        </is>
      </c>
      <c r="F15" t="inlineStr">
        <is>
          <t>愿你扎根深稳，年轮丰饶
愿你伸向云端，姿态轻盈
现实的繁琐常让人觉得深陷其中，疲惫与压力如同滩涂泥泞掣肘；然而蓝天白云下，这些来自现实的泥土却是我们存在的支撑，仔细地塑造着我们挣扎、成长、共存的痕迹。温柔的钢琴与弦乐缓缓推移，就像美好与热爱在水露与微光之间凝结。
傻树是我，傻树是你。我们如同树一般地向往云端，在风雨阳光中感受寂静与蝉鸣，尽管做着自由的梦，却不沉沦于梦境。身处困境之中，却仍向太空伸出枝桠。曾经在缝隙中努力生长，想要看到世界的种子，收到了来自天空的回应吗？阳光透过枝叶缝隙，鸟群浮掠树影，世界的美与辽阔已然呈现在眼前。</t>
        </is>
      </c>
      <c r="G15" t="inlineStr">
        <is>
          <t>荒野爱人</t>
        </is>
      </c>
      <c r="H15" s="3"/>
      <c r="I15" s="3"/>
      <c r="J15" t="inlineStr">
        <is>
          <t>白举纲《傻树》https://c6.y.qq.com/base/fcgi-bin/u?__=kUGUl7QOMDli @QQ音乐</t>
        </is>
      </c>
      <c r="K15"/>
      <c r="L15"/>
      <c r="M15" t="inlineStr">
        <is>
          <t>image.png,image.png</t>
        </is>
      </c>
      <c r="N15" t="inlineStr">
        <is>
          <t>原创</t>
        </is>
      </c>
      <c r="O15" s="3"/>
      <c r="P15"/>
      <c r="Q15" s="3"/>
      <c r="R15"/>
    </row>
    <row r="16" ht="25.5" customHeight="1">
      <c r="A16" t="inlineStr">
        <is>
          <t>OUTRO：晚安</t>
        </is>
      </c>
      <c r="B16" t="inlineStr">
        <is>
          <t>2025</t>
        </is>
      </c>
      <c r="C16" s="2">
        <v>45804</v>
      </c>
      <c r="D16" t="inlineStr">
        <is>
          <t>（纯音乐）</t>
        </is>
      </c>
      <c r="E16" t="inlineStr">
        <is>
          <t>作曲 : 白举纲</t>
        </is>
      </c>
      <c r="F16"/>
      <c r="G16" t="inlineStr">
        <is>
          <t>荒野爱人</t>
        </is>
      </c>
      <c r="H16" s="3"/>
      <c r="I16" s="3"/>
      <c r="J16" t="inlineStr">
        <is>
          <t>白举纲《OUTRO: 晚安》https://c6.y.qq.com/base/fcgi-bin/u?__=Bcpla6QOMAqr @QQ音乐</t>
        </is>
      </c>
      <c r="K16"/>
      <c r="L16"/>
      <c r="M16" t="inlineStr">
        <is>
          <t>image.png</t>
        </is>
      </c>
      <c r="N16" t="inlineStr">
        <is>
          <t>原创</t>
        </is>
      </c>
      <c r="O16" s="3"/>
      <c r="P16"/>
      <c r="Q16" s="3"/>
      <c r="R16"/>
    </row>
    <row r="17" ht="25.5" customHeight="1">
      <c r="A17" t="inlineStr">
        <is>
          <t>叙 (Intro)</t>
        </is>
      </c>
      <c r="B17" t="inlineStr">
        <is>
          <t>2018</t>
        </is>
      </c>
      <c r="C17" s="2">
        <v>43217</v>
      </c>
      <c r="D17"/>
      <c r="E17" t="inlineStr">
        <is>
          <t>作曲 : 白举纲</t>
        </is>
      </c>
      <c r="F17"/>
      <c r="G17" t="inlineStr">
        <is>
          <t>耳盲</t>
        </is>
      </c>
      <c r="H17" s="3" t="str">
        <f>=HYPERLINK("https://www.bilibili.com/video/BV1E4411P7oR/?share_source=copy_web&amp;vd_source=9a6bf3f0546e45af2384d1aa9db5309b", "https://www.bilibili.com/video/BV1E4411P7oR/?share_source=copy_web&amp;vd_source=9a6bf3f0546e45af2384d1aa9db5309b")</f>
        <v>https://www.bilibili.com/video/BV1E4411P7oR/?share_source=copy_web&amp;vd_source=9a6bf3f0546e45af2384d1aa9db5309b</v>
      </c>
      <c r="I17" s="3"/>
      <c r="J17" t="inlineStr">
        <is>
          <t>分享白举纲的单曲《叙 (Intro)》: https://y.music.163.com/m/song?id=554244750&amp;userid=1316898734&amp;dlt=0846 (来自@网易云音乐)</t>
        </is>
      </c>
      <c r="K17"/>
      <c r="L17"/>
      <c r="M17" t="inlineStr">
        <is>
          <t>image.png</t>
        </is>
      </c>
      <c r="N17" t="inlineStr">
        <is>
          <t>原创</t>
        </is>
      </c>
      <c r="O17" s="3"/>
      <c r="P17"/>
      <c r="Q17" s="3"/>
      <c r="R17"/>
    </row>
    <row r="18" ht="25.5" customHeight="1">
      <c r="A18" t="inlineStr">
        <is>
          <t>别</t>
        </is>
      </c>
      <c r="B18" t="inlineStr">
        <is>
          <t>2018</t>
        </is>
      </c>
      <c r="C18" s="2">
        <v>43217</v>
      </c>
      <c r="D18" t="inlineStr">
        <is>
          <t>杯中物 饮琼露 醉别西楼再相逢
花涧柳 黄粱梦 又添几许新愁
从别后 忆相逢 几回魂梦与君同
风敲竹 雨淋土 院前幽兰失娇容 失娇容
斜阳落 玉笛鸣 琵琶奏
月如钩 闭眼往事如梦
夜凉人走 凭栏立 月华收
夜未寝 湿罗衣 盼来一曲从军令
马前卒 男儿命 黄沙漠漠醉酩酊
倚雕栏 枕玉砌 抱得佳人长相守
千户侯 爵位授 从此与君不再候 不再候
月如钩 闭眼往事如梦
夜凉人走 凭栏立 月华收
一将功成万骨枯
月照不复故乡路
金戈铁马万人拥
醉沙场卧亦沙场
斜阳落 玉笛鸣 琵琶奏
不旋踵 两鬓白 青丝落
月如钩 闭眼往事如梦
夜凉人走 凭栏立 月华收
一将功成万骨枯
月照不复故乡路
金戈铁马万人拥
醉沙场卧亦沙场</t>
        </is>
      </c>
      <c r="E18" t="inlineStr">
        <is>
          <t>作词 : Sasha Gao
作曲 : 白举纲
制作人: Erik Ron,白举纲混音师:David Bendeth
母带师: Ted Jensen
吉他:Erik Ron,白举纲
鼓: Matthew Marquez,殷之豪
贝斯:Erik Ron,郭凌峰
Programing: Erik Ron,白举纲
古筝:王冰洁
和声:白举纲</t>
        </is>
      </c>
      <c r="F18" t="inlineStr">
        <is>
          <t>《别》，我做这首歌时并没想过要把它做成什么古风结合重型音乐来做，并没有想过。只是在我和制作人Eric Ron我们把riff写出来、大概的框架架好之后，我脑子里面出现的声音是这样的一个音色。然后我就想到了古筝，我们当时就找了一个音源，我们自己把中国所有民族乐器的音源是带到A去的，带过去的。但是因为没有真的乐器怎么办呢，我们就用软音源代替，然后最后回到国内，在国内的棚里面，找人真的录的乐器。我们有些歌是在国内写的一半，去那边完成创作；《别》这首歌真的就是完全在A那边创作的，真的不知道为什么有些时候你在外面的地方，你这种家乡来自于你本身体内的这种中国传统的东西会被无限放大，无限激发，它就被激发出来了。包括说一说这首歌的词，是我一个朋友，当时我只写了几句，我从来不唱别人写的词，但是真的就是我古风词写得太烂，我写不好，我就自己随意写了几句，然后我说我要征战沙场，浴沙场，那种感觉，就写了大概几句中心思想什么的就交给她，‘好，你帮我完成吧，你擅长这个，你帮我写’。然后三天给我了。——白举纲《Music Radio音乐之声》</t>
        </is>
      </c>
      <c r="G18" t="inlineStr">
        <is>
          <t>耳盲</t>
        </is>
      </c>
      <c r="H18" s="3" t="str">
        <f>=HYPERLINK("https://music.163.com/mv?id=5876726", "https://music.163.com/mv?id=5876726")</f>
        <v>https://music.163.com/mv?id=5876726</v>
      </c>
      <c r="I18" s="3" t="str">
        <f>=HYPERLINK("https://music.163.com/mv?id=10834181", "https://music.163.com/mv?id=10834181")</f>
        <v>https://music.163.com/mv?id=10834181</v>
      </c>
      <c r="J18" t="inlineStr">
        <is>
          <t>分享白举纲的单曲《别》: https://y.music.163.com/m/song?id=554241737&amp;userid=1316898734&amp;dlt=0846 (来自@网易云音乐)</t>
        </is>
      </c>
      <c r="K18"/>
      <c r="L18"/>
      <c r="M18" t="inlineStr">
        <is>
          <t>image.png</t>
        </is>
      </c>
      <c r="N18" t="inlineStr">
        <is>
          <t>原创</t>
        </is>
      </c>
      <c r="O18" s="3"/>
      <c r="P18"/>
      <c r="Q18" s="3"/>
      <c r="R18"/>
    </row>
    <row r="19" ht="25.5" customHeight="1">
      <c r="A19" t="inlineStr">
        <is>
          <t>着陆</t>
        </is>
      </c>
      <c r="B19" t="inlineStr">
        <is>
          <t>2018</t>
        </is>
      </c>
      <c r="C19" s="2">
        <v>43236</v>
      </c>
      <c r="D19" t="inlineStr">
        <is>
          <t>会伤人的毒舌 飘散在干净云朵 生长出的恶果 成了生存法则
对拳头说拜托 下起了雪色滂沱 怎么了
坠落有些空洞 扭曲了 唾弃着 嘲笑着 软弱的
我就躲在角落 看着黑色漠过我双眸
颤抖地拉着我自己的手 假装自己闭着眼梦游
病得有点重 模仿着剪断每支花朵
浇灭了充斥全身的火热 却说目前为止还不错
什么上帝 什么道理 麻木神经在游离
什么谷底 什么正义 亲手埋葬我自己
愤怒在燃烧着 灼伤的成灰散落 后来呢
像冒险像赌博 锁住了 叛逆着 冷漠着 最爱的
我就躲在角落 看着黑色漠过我双眸
颤抖地拉着我自己的手 假装自己闭着眼梦游
病得有点重 模仿着剪断每支花朵
浇灭了充斥全身的火热 却说目前为止还不错
什么上帝 什么道理 麻木神经在游离
什么谷底 什么正义 亲手埋葬我自己
看你扣动盘棋 什么结局
怎么了 怎么了
什么上帝 什么道理 麻木神经在游离
什么谷底 什么正义 亲手埋葬我自己
看你扣动盘棋 什么结局</t>
        </is>
      </c>
      <c r="E19" t="inlineStr">
        <is>
          <t>作词 : 白举纲
作曲 : 白举纲制作人: Erik Ron,白举纲
混音师:David Bendeth
母带师: Ted Jensen
吉他:Erik Ron,白举纲
鼓: Matthew Marquez，殷之豪
贝斯:Erik Ron,郭凌峰
Programing: Erik Ron,白举纲
和声:白举纲</t>
        </is>
      </c>
      <c r="F19" t="inlineStr">
        <is>
          <t>希望听到这首歌的人们，能够友善地对待这个世界上其他的所有人，停止冷暴力、语言暴力、网络暴力等。开心的过自己的生活吧。
“《着陆》这首歌是因为这两年的新闻比较多校园暴力、家庭暴力，这些不停出现的暴力事件，而写的一首歌，对于这种事情是想要反对的、反抗的状态而写的一首歌。”
——白举纲《Music Radio音乐之声》
“冷暴力、家暴、青少年之间的暴力、网络语言的暴力……然而我希望大家以后都不要用这些方式去伤害别人好吗！”
——白举纲《芒果音乐节》</t>
        </is>
      </c>
      <c r="G19" t="inlineStr">
        <is>
          <t>耳盲</t>
        </is>
      </c>
      <c r="H19" s="3" t="str">
        <f>=HYPERLINK("https://music.163.com/mv?id=5921015", "https://music.163.com/mv?id=5921015")</f>
        <v>https://music.163.com/mv?id=5921015</v>
      </c>
      <c r="I19" s="3"/>
      <c r="J19" t="inlineStr">
        <is>
          <t>分享白举纲的单曲《着陆》: https://163cn.tv/5AhLkp4 (来自@网易云音乐)</t>
        </is>
      </c>
      <c r="K19"/>
      <c r="L19"/>
      <c r="M19" t="inlineStr">
        <is>
          <t>image.png</t>
        </is>
      </c>
      <c r="N19" t="inlineStr">
        <is>
          <t>原创</t>
        </is>
      </c>
      <c r="O19" s="3"/>
      <c r="P19"/>
      <c r="Q19" s="3"/>
      <c r="R19"/>
    </row>
    <row r="20" ht="25.5" customHeight="1">
      <c r="A20" t="inlineStr">
        <is>
          <t>耳盲</t>
        </is>
      </c>
      <c r="B20" t="inlineStr">
        <is>
          <t>2018</t>
        </is>
      </c>
      <c r="C20" s="2">
        <v>43236</v>
      </c>
      <c r="D20" t="inlineStr">
        <is>
          <t>我想我们终究会被遗忘 留不住骄傲 留不住过往
沧海桑田也一直都这样 没过了多少的人生无常
你的故事 你会想起 我说的话 我来忘记
车流不息 人往离去 花红酒绿 演到了哪里
对我讲 会怎样 不过唏嘘短叹些时光
对我讲 又怎样 遗憾和残缺它 它总在我身旁
我想随细雨贴在你身上 抚平我焦躁不安的恐慌
曾无法安眠的夜都一样 抵不过时间褪去的悲伤
你的故事 你会想起 我说的话 我来忘记
车流不息 人往离去 花红酒绿
你对我讲 会怎样 不过唏嘘短叹些时光
对我讲 又怎样 遗憾残缺 在我身旁
看似繁华匆忙 路口熙熙攘攘 独自挥舞荒凉 我活在我身上 你对我讲 你对我讲
心的力量别太强 别让孤单载着你下降
对我讲 会怎样 不过唏嘘短叹些时光
对我讲 又怎样 遗憾和残缺它……
对我讲 会怎样 不过唏嘘短叹些时光
对我讲 又怎样 遗憾残缺 在我身旁
看似繁华匆忙 路口熙熙攘攘 独自挥舞荒凉 我活在我身上 你对我讲 你对我讲</t>
        </is>
      </c>
      <c r="E20" t="inlineStr">
        <is>
          <t>作词 : 白举纲
作曲 : 白举纲
制作人: Erik Ron,白举纲
混音师:David Bendeth
母带师: Ted Jensen
吉他:Erik Ron,白举纲
鼓: Matthew Marquez，殷之豪
贝斯:Erik Ron,郭凌峰
Programing: Erik Ron,白举纲
和声:白举纲，方圆</t>
        </is>
      </c>
      <c r="F20" t="inlineStr">
        <is>
          <t>我想，我们终究被遗忘，留不住骄傲，留不住过往。
这首歌其实是写的是我自己前年和去年有一些困惑、迷惘也好，陷入一些困境当中走不出来也好，耳朵可能听不见了，然后也听不到自己心里面的声音，自己在对自己想要说的是什么，把它写成了这首歌，最后我怎么出来的，对我讲，我对我自己讲，会怎么样，不过唏嘘短叹些时光，又怎么样嘛，不就是时间流逝又怎么样呢，会怎样，遗憾和残缺它永远我都在我身旁，它在身旁又怎么样，它就在你身旁，遗憾和残缺它也是一种方式，不要管那么多了，继续我们自己的生活，该怎么走继续怎么走。”“像这句所话说的‘我活在我身上’，我永远是活在我自己身上。”——白举纲《Music Radio音乐之声》</t>
        </is>
      </c>
      <c r="G20" t="inlineStr">
        <is>
          <t>耳盲</t>
        </is>
      </c>
      <c r="H20" s="3"/>
      <c r="I20" s="3" t="str">
        <f>=HYPERLINK("https://www.bilibili.com/video/BV1E4411P7oR/?p=8&amp;share_source=copy_web&amp;vd_source=9a6bf3f0546e45af2384d1aa9db5309b", "https://www.bilibili.com/video/BV1E4411P7oR/?p=8&amp;share_source=copy_web&amp;vd_source=9a6bf3f0546e45af2384d1aa9db5309b")</f>
        <v>https://www.bilibili.com/video/BV1E4411P7oR/?p=8&amp;share_source=copy_web&amp;vd_source=9a6bf3f0546e45af2384d1aa9db5309b</v>
      </c>
      <c r="J20" t="inlineStr">
        <is>
          <t>分享白举纲的单曲《耳盲》: https://y.music.163.com/m/song?id=557581210&amp;userid=1316898734&amp;dlt=0846 (来自@网易云音乐)</t>
        </is>
      </c>
      <c r="K20"/>
      <c r="L20"/>
      <c r="M20" t="inlineStr">
        <is>
          <t>image.png</t>
        </is>
      </c>
      <c r="N20" t="inlineStr">
        <is>
          <t>原创</t>
        </is>
      </c>
      <c r="O20" s="3"/>
      <c r="P20"/>
      <c r="Q20" s="3"/>
      <c r="R20"/>
    </row>
    <row r="21" ht="25.5" customHeight="1">
      <c r="A21" t="inlineStr">
        <is>
          <t>安排好的人生</t>
        </is>
      </c>
      <c r="B21" t="inlineStr">
        <is>
          <t>2018</t>
        </is>
      </c>
      <c r="C21" s="2">
        <v>43245</v>
      </c>
      <c r="D21" t="inlineStr">
        <is>
          <t>安排好的人生
习惯没意外发生 习惯接受着剧本
是什么在支撑
逃离金色的狱门 逃离假装的安稳
看他们编排好戏份 每天都是同样尾声
竭力挽留？还跨不出那扇门
谎言也能持续一生 拿着钥匙打不开门
身边的人 孤独的人
到了远方送我一程 我怕双脚麻木不仁
清醒的人 没有几个人
看不见的你们 都显得格外动人
竟比生活更逼真
想结伴闯同个红灯 路口太暗太多回程
汹涌中走散 只能越陷越深
谎言也能持续一生 拿着钥匙打不开门
身边的人 孤独的人
到了远方送我一程 我怕双脚麻木不仁
清醒的人 没有几个人
谎言也能持续一生 拿着钥匙打不开门
身边的人 孤独的人
到了远方送我一程 我怕双脚麻木不仁
清醒的人 没有几个人</t>
        </is>
      </c>
      <c r="E21" t="inlineStr">
        <is>
          <t>作词 : 白举纲
作曲 : 白举纲
制作人: Erik Ron,郭小峰,白举纲
混音师:David Bendeth
母带师: Ted Jensen
吉他:Erik Ron,郭小峰,白举纲
鼓: Matthew Marquez,殷之豪
贝斯:Erik Ron,郭凌峰
Programing: Erik Ron,郭小峰,白举纲
和声:白举纲</t>
        </is>
      </c>
      <c r="F21" t="inlineStr">
        <is>
          <t>每天都重复着剧本，也没什么意外发生，对自己渴望的默默说着“不可能”，是你吗？安排好的人生。</t>
        </is>
      </c>
      <c r="G21" t="inlineStr">
        <is>
          <t>耳盲</t>
        </is>
      </c>
      <c r="H21" s="3"/>
      <c r="I21" s="3"/>
      <c r="J21" t="inlineStr">
        <is>
          <t>分享白举纲的单曲《安排好的人生》: https://y.music.163.com/m/song?id=565975133&amp;userid=1316898734&amp;dlt=0846 (来自@网易云音乐)</t>
        </is>
      </c>
      <c r="K21"/>
      <c r="L21"/>
      <c r="M21" t="inlineStr">
        <is>
          <t>image.png</t>
        </is>
      </c>
      <c r="N21" t="inlineStr">
        <is>
          <t>原创</t>
        </is>
      </c>
      <c r="O21" s="3"/>
      <c r="P21"/>
      <c r="Q21" s="3"/>
      <c r="R21"/>
    </row>
    <row r="22" ht="25.5" customHeight="1">
      <c r="A22" t="inlineStr">
        <is>
          <t>Saochi boy</t>
        </is>
      </c>
      <c r="B22" t="inlineStr">
        <is>
          <t>2018</t>
        </is>
      </c>
      <c r="C22" s="2">
        <v>43236</v>
      </c>
      <c r="D22" t="inlineStr">
        <is>
          <t>想做只企鹅 也想做独角兽 想抓住迷雾 当作灵魂甘露
想闭眼糊涂 梦的绚丽如初 想打破世俗 开辟新的道路
给你的蕾丝糖果 编织的漂亮花朵 同星辰一般发出的熠熠光彩 不断有人会青睐
随意他们瞎猜 亲爱的不要见怪 志向填满不用憧憬的美好未来 爱 本存在
I'm a Saochi boy I'm a Saochi boy
没错误 没怪物 没歧途
I'm a Saochi boy I'm a Saochi boy
没错误 没怪物 没歧途 不再无助
故事在发酵 会碰撞会微笑 皮囊在燃烧 在萌芽在思考
泥泞中咆哮 谩骂也没味道 看烟火美妙 没什么会击倒
海马体重播过往 你用你温暖去对抗 偏见的牢笼把奋力的心铐上 布满荆棘和渴望
妈妈说你就这样 是与生俱来的模样 漫长的旅途会残缺会瞎想 盼望曙光
I'm a Saochi boy I'm a Saochi boy
没错误 没怪物 没歧途
I'm a Saochi boy I'm a Saochi boy
没错误 没怪物 没歧途 不再无助
妈妈说你就这样 是与生俱来的模样 漫长的旅途会残缺会瞎想 期盼曙光
各种各样的爱她都会释放 终将释放
狮子爱上鳄鱼也请你见谅 没得商量 灵魂碰撞
I'm a Saochi boy I'm a Saochi boy
没错误 没怪物 没歧途
I'm a Saochi boy I'm a Saochi boy
没错误 没怪物 没歧途 不再无助</t>
        </is>
      </c>
      <c r="E22" t="inlineStr">
        <is>
          <t>作词 : 白举纲/Sasha Gao
作曲 : 白举纲/Erik Ron
制作人: Erik Ron,白举纲
混音师:David Bendeth
母带师: Ted Jensen
吉他:Erik Ron,白举纲
鼓: Matthew Marquez，殷之豪
贝斯:Erik Ron,郭凌峰
Programing: Erik Ron,白举纲
和声:白举纲</t>
        </is>
      </c>
      <c r="F22" t="inlineStr">
        <is>
          <t>你妈妈说：“你就这样，是与生俱来的模样。”
我说：“希望他们想的都和你一样。”
这首歌比较特别，写的是无差别、无限制的爱。无论是什么样的爱都希望得到这个世界的包容。”——白举纲《Music Radio音乐之声》</t>
        </is>
      </c>
      <c r="G22" t="inlineStr">
        <is>
          <t>耳盲</t>
        </is>
      </c>
      <c r="H22" s="3" t="str">
        <f>=HYPERLINK("https://music.163.com/mv?id=5909163&amp;uct2=U2FsdGVkX1/3rAmrGs8Uxc9lmHbj/r4LZlmo//RYNRo=", "https://music.163.com/mv?id=5909163&amp;uct2=U2FsdGVkX1/3rAmrGs8Uxc9lmHbj/r4LZlmo//RYNRo=")</f>
        <v>https://music.163.com/mv?id=5909163&amp;uct2=U2FsdGVkX1/3rAmrGs8Uxc9lmHbj/r4LZlmo//RYNRo=</v>
      </c>
      <c r="I22" s="3" t="str">
        <f>=HYPERLINK("https://music.163.com/mv?id=10782318", "https://music.163.com/mv?id=10782318")</f>
        <v>https://music.163.com/mv?id=10782318</v>
      </c>
      <c r="J22" t="inlineStr">
        <is>
          <t>分享白举纲的单曲《Saochi Boy》: https://y.music.163.com/m/song?id=557583224&amp;userid=1316898734&amp;dlt=0846 (来自@网易云音乐)</t>
        </is>
      </c>
      <c r="K22"/>
      <c r="L22"/>
      <c r="M22" t="inlineStr">
        <is>
          <t>image.png,image.png</t>
        </is>
      </c>
      <c r="N22" t="inlineStr">
        <is>
          <t>原创</t>
        </is>
      </c>
      <c r="O22" s="3"/>
      <c r="P22"/>
      <c r="Q22" s="3"/>
      <c r="R22"/>
    </row>
    <row r="23" ht="25.5" customHeight="1">
      <c r="A23" t="inlineStr">
        <is>
          <t>陷</t>
        </is>
      </c>
      <c r="B23" t="inlineStr">
        <is>
          <t>2018</t>
        </is>
      </c>
      <c r="C23" s="2">
        <v>43245</v>
      </c>
      <c r="D23" t="inlineStr">
        <is>
          <t>我想你是否还在被窝里啃食长期的压抑
我想你是否还像个机器看不清你自己
你想在地表呼吸 想喘口气
你纯粹只靠力气 承受过去
对于你 谈不起 给不起 也是原地
那颗最热的心 就是你
挣扎在沼泽里 会窒息
榨干你的情绪 躺进去
你是否接受了这样的无能为力
你是否想要抓住不回头不会停下的自己
放了活得像个疯子似的放纵奔跑的你
借口全部找尽 别提及
欠下的债和情 都给你
对于你 谈不起 给不起 也是原地
那颗最热的心 就是你
挣扎在沼泽里 会窒息
榨干你的情绪 躺进去
你是否接受了这样的无能为力
流水线的杂质 凝成骄傲的画纸
换不来三两银子
那颗最热的心 就是你
挣扎在沼泽里 会窒息
榨干你的情绪 躺进去
你是否接受了这样的无能为力</t>
        </is>
      </c>
      <c r="E23" t="inlineStr">
        <is>
          <t>作词 : 白举纲
作曲 : 白举纲
制作人: Erik Ron,白举纲
混音师:David Bendeth
母带师: Ted Jensen
吉他:Erik Ron,白举纲
鼓: Matthew Marquez，殷之豪
贝斯:Erik Ron,郭凌峰
Programing: Erik Ron,白举纲
和声:白举纲,方圆</t>
        </is>
      </c>
      <c r="F23" t="inlineStr">
        <is>
          <t>放了，活的像个疯子似的，放纵奔跑的你～</t>
        </is>
      </c>
      <c r="G23" t="inlineStr">
        <is>
          <t>耳盲</t>
        </is>
      </c>
      <c r="H23" s="3"/>
      <c r="I23" s="3" t="str">
        <f>=HYPERLINK("https://www.bilibili.com/video/BV1E4411P7oR/?p=10&amp;share_source=copy_web&amp;vd_source=9a6bf3f0546e45af2384d1aa9db5309b", "https://www.bilibili.com/video/BV1E4411P7oR/?p=10&amp;share_source=copy_web&amp;vd_source=9a6bf3f0546e45af2384d1aa9db5309b")</f>
        <v>https://www.bilibili.com/video/BV1E4411P7oR/?p=10&amp;share_source=copy_web&amp;vd_source=9a6bf3f0546e45af2384d1aa9db5309b</v>
      </c>
      <c r="J23" t="inlineStr">
        <is>
          <t>分享白举纲的单曲《陷》: https://y.music.163.com/m/song?id=565975134&amp;userid=1316898734&amp;dlt=0846 (来自@网易云音乐)</t>
        </is>
      </c>
      <c r="K23"/>
      <c r="L23"/>
      <c r="M23" t="inlineStr">
        <is>
          <t>image.png</t>
        </is>
      </c>
      <c r="N23" t="inlineStr">
        <is>
          <t>原创</t>
        </is>
      </c>
      <c r="O23" s="3"/>
      <c r="P23"/>
      <c r="Q23" s="3"/>
      <c r="R23"/>
    </row>
    <row r="24" ht="25.5" customHeight="1">
      <c r="A24" t="inlineStr">
        <is>
          <t>一拳</t>
        </is>
      </c>
      <c r="B24" t="inlineStr">
        <is>
          <t>2018</t>
        </is>
      </c>
      <c r="C24" s="2">
        <v>43245</v>
      </c>
      <c r="D24" t="inlineStr">
        <is>
          <t>被质问 被责怪 被宠坏
只是假装活着不闻百态
在承受 在习惯 在忍耐
她还是从指尖悄悄溜开
方向在原地打转 跨不过坎坷无奈
说没人听的孤单 经受不起的磨难
都还在 没走开
给我 一拳 让我清醒
足够疼痛 记得 曾经的选择
给我 一拳 让我摆脱
这身空壳 忘了 丈量的生活
还逃避 还懈怠 还悲叹
时光矫情 停留也很短暂
或遐想 或依赖 或重来
只是不愿 你被自己打败
方向在原地打转 跨不过坎坷无奈
说没人听的孤单 经受不起的磨难
还好有你的陪伴 没梦不该的期待
你在 我在 我还在
给我 一拳 让我清醒
足够疼痛 记得 曾经的选择
给我 一拳 让我摆脱
这身空壳 忘了 丈量的生活
被质问 被责怪 被宠坏
假装活着不闻百态 只是假装活着很奇怪
或遐想 或依赖 或重来
不愿你被自己打败 只是不愿被自己打败
时光也矫情短暂 还没完
给我 一拳 让我清醒
足够疼痛 记得 曾经的选择
给我 一拳 让我摆脱 这身空壳
忘了 丈量的生活
其中的苦涩 其中的苦涩</t>
        </is>
      </c>
      <c r="E24" t="inlineStr">
        <is>
          <t>作词 : 白举纲
作曲 : 白举纲/Erik Ron
制作人: Erik Ron,白举纲
混音师:David Bendeth
母带师: Ted Jensen
吉他:Erik Ron,白举纲
鼓: Matthew Marquez,殷之豪
贝斯:Erik Ron,郭凌峰
Programing: Erik Ron,白举纲
和声:白举纲,Erik Ron</t>
        </is>
      </c>
      <c r="F24" t="inlineStr">
        <is>
          <t>这是不插电专辑的第三首歌，路见不平，出手相助！
《一拳》这首歌是在《青》那一趴里面，《青》那一趴三首歌《安排好的人生》、《陷》、《一拳》，怎么来讲就是，在《安排好的人生》里面越《陷》越深，我需要给我自己《一拳》来打醒我自己，就这种感觉。”——白举纲《Music Radio音乐之声》</t>
        </is>
      </c>
      <c r="G24" t="inlineStr">
        <is>
          <t>耳盲</t>
        </is>
      </c>
      <c r="H24" s="3" t="str">
        <f>=HYPERLINK("https://music.163.com/mv?id=5917263&amp;uct2=U2FsdGVkX1/743rdDXMVOG+VQ4cYoJdN7aqfa+RS7Kk=", "https://music.163.com/mv?id=5917263&amp;uct2=U2FsdGVkX1/743rdDXMVOG+VQ4cYoJdN7aqfa+RS7Kk=")</f>
        <v>https://music.163.com/mv?id=5917263&amp;uct2=U2FsdGVkX1/743rdDXMVOG+VQ4cYoJdN7aqfa+RS7Kk=</v>
      </c>
      <c r="I24" s="3" t="str">
        <f>=HYPERLINK("https://www.bilibili.com/video/BV1E4411P7oR/?p=11&amp;share_source=copy_web&amp;vd_source=9a6bf3f0546e45af2384d1aa9db5309b", "https://www.bilibili.com/video/BV1E4411P7oR/?p=11&amp;share_source=copy_web&amp;vd_source=9a6bf3f0546e45af2384d1aa9db5309b")</f>
        <v>https://www.bilibili.com/video/BV1E4411P7oR/?p=11&amp;share_source=copy_web&amp;vd_source=9a6bf3f0546e45af2384d1aa9db5309b</v>
      </c>
      <c r="J24" t="inlineStr">
        <is>
          <t>分享白举纲的单曲《一拳》: https://163cn.tv/5AhTogQ (来自@网易云音乐)</t>
        </is>
      </c>
      <c r="K24"/>
      <c r="L24"/>
      <c r="M24" t="inlineStr">
        <is>
          <t>image.png,image.png</t>
        </is>
      </c>
      <c r="N24" t="inlineStr">
        <is>
          <t>原创</t>
        </is>
      </c>
      <c r="O24" s="3"/>
      <c r="P24"/>
      <c r="Q24" s="3"/>
      <c r="R24"/>
    </row>
    <row r="25" ht="25.5" customHeight="1">
      <c r="A25" t="inlineStr">
        <is>
          <t>良药</t>
        </is>
      </c>
      <c r="B25" t="inlineStr">
        <is>
          <t>2018</t>
        </is>
      </c>
      <c r="C25" s="2">
        <v>43259</v>
      </c>
      <c r="D25" t="inlineStr">
        <is>
          <t>你能听到关于我的微弱心跳 会枯萎掉
你能感到渐渐忘掉我的大脑 会窃取掉
捆绑思智 语言花俏
温柔待我 背后藏刀
划破喉咙流着我的残枝孤傲 会看不到
原来并没有苦口良药
假如我醒不了 就沉睡途中继续逃跑
假如我到不了 帮我把空气全都打包
可惜没听得到 可惜没看得到
至少我对得起每分每秒
我还没听得到 我还没看得到
至少我握住了我的骄傲
我找不到你留下的致命毒药 解脱不了
我尝不到酒精下的自由味道 折透格调
碌馁寻找 规则傻掉
掏空祈祷 篙樯不倒
还是想要挖出属于我的隧道 逆着光跑
假如我醒不了 就沉睡途中继续逃跑
假如我到不了 帮我把空气全都打包
可惜没听得到 可惜没看得到
至少我对得起每分每秒
我还没听得到 我还没看得到
至少我握住了我的骄傲</t>
        </is>
      </c>
      <c r="E25" t="inlineStr">
        <is>
          <t>作词 : 白举纲
作曲 : 白举纲
制作人:郭小峰,Erik Ron,白举纲
混音师:David Bendeth
吉他:Erik Ron,郭小峰,白举纲
鼓:Matthew Marquez,殷之豪
贝斯:Erik Ron,郭凌峰
Programing:Erik Ron,郭小峰,白举纲
和声:白举纲
</t>
        </is>
      </c>
      <c r="F25" t="inlineStr">
        <is>
          <t>被迫改掉的原名《额叶切除》</t>
        </is>
      </c>
      <c r="G25" t="inlineStr">
        <is>
          <t>耳盲</t>
        </is>
      </c>
      <c r="H25" s="3" t="str">
        <f>=HYPERLINK("https://www.bilibili.com/video/BV11s411V7Zm/?p=4&amp;share_source=copy_web&amp;vd_source=9a6bf3f0546e45af2384d1aa9db5309b", "https://www.bilibili.com/video/BV11s411V7Zm/?p=4&amp;share_source=copy_web&amp;vd_source=9a6bf3f0546e45af2384d1aa9db5309b")</f>
        <v>https://www.bilibili.com/video/BV11s411V7Zm/?p=4&amp;share_source=copy_web&amp;vd_source=9a6bf3f0546e45af2384d1aa9db5309b</v>
      </c>
      <c r="I25" s="3"/>
      <c r="J25" t="inlineStr">
        <is>
          <t>分享白举纲的单曲《良药》: https://y.music.163.com/m/song?id=571340215&amp;userid=1316898734&amp;dlt=0846 (来自@网易云音乐)</t>
        </is>
      </c>
      <c r="K25"/>
      <c r="L25"/>
      <c r="M25" t="inlineStr">
        <is>
          <t>de849b98f38b48266e4eee416e4f702a.jpg,image.png</t>
        </is>
      </c>
      <c r="N25" t="inlineStr">
        <is>
          <t>原创</t>
        </is>
      </c>
      <c r="O25" s="3"/>
      <c r="P25"/>
      <c r="Q25" s="3"/>
      <c r="R25"/>
    </row>
    <row r="26" ht="25.5" customHeight="1">
      <c r="A26" t="inlineStr">
        <is>
          <t>觥筹</t>
        </is>
      </c>
      <c r="B26" t="inlineStr">
        <is>
          <t>2018</t>
        </is>
      </c>
      <c r="C26" s="2">
        <v>43217</v>
      </c>
      <c r="D26" t="inlineStr">
        <is>
          <t>镜花水月 来世情缘 烛火摇曳 风吟
灯火阑珊 琴瑟和鸣 朝朝暮暮 醉饮
残阳剪影梦昔人 月花落 幽兰开 共许诺
杯酒言欢夜笙歌 骤雨霖落 泪阑干 声声默
临暮霭 路渺漫
一樽清酒画月夜 万事消磨
燕语莺呼 残枝零落
晚来初雨却道是情难过 坠入烟尘
没落 错过 只道 只道恍然若梦
烟云朦胧 缘已缄默 夜雨飘落
情默默 觥筹相交错
繁花似锦奈何愁 披襟散发倦意浓
沉默 凋落 飞金走玉再难留
琼楼金阙 珠箔银屏 锦天绣地 梦醒
秋露寒霜 魂牵梦绕 暮暮朝朝 倩影
花酒载 莫相猜
一樽清酒画月夜 万事消磨
燕语莺呼 残枝零落
晚来初雨却道是情难过 坠入烟尘
没落 错过 只道 只道恍然若梦
烟云朦胧 缘已缄默 夜雨飘落
情默默 觥筹相交错
繁花似锦奈何愁 披襟散发倦意浓
沉默 凋落 飞金走玉再难留
一樽清酒画月夜 万事消磨
燕语莺呼 残枝零落
晚来初雨却道是情难过 坠入烟尘
没落 错过 只道 只道恍然若梦
烟云朦胧 缘已缄默 夜雨飘落
情默默 觥筹相交错
繁花似锦奈何愁 披襟散发倦意浓
沉默 凋落 飞金走玉再难留</t>
        </is>
      </c>
      <c r="E26" t="inlineStr">
        <is>
          <t>作词 : Sasha Gao
作曲 : 白举纲
制作人: 郭小峰,Erik Ron,白举纲
混音师:David Bendeth
母带师: Ted Jensen
吉他:Erik Ron,郭小峰,白举纲
鼓: Matthew Marquez,殷之豪
贝斯:Erik Ron,郭凌峰
Programing: Erik Ron,白举纲,郭小峰
和声:白举纲,Erik Ron</t>
        </is>
      </c>
      <c r="F26"/>
      <c r="G26" t="inlineStr">
        <is>
          <t>耳盲</t>
        </is>
      </c>
      <c r="H26" s="3" t="str">
        <f>=HYPERLINK("https://www.bilibili.com/video/BV11s411V7Zm/?share_source=copy_web&amp;vd_source=9a6bf3f0546e45af2384d1aa9db5309b", "https://www.bilibili.com/video/BV11s411V7Zm/?share_source=copy_web&amp;vd_source=9a6bf3f0546e45af2384d1aa9db5309b")</f>
        <v>https://www.bilibili.com/video/BV11s411V7Zm/?share_source=copy_web&amp;vd_source=9a6bf3f0546e45af2384d1aa9db5309b</v>
      </c>
      <c r="I26" s="3" t="str">
        <f>=HYPERLINK("https://www.bilibili.com/video/BV1E4411P7oR/?p=9&amp;share_source=copy_web&amp;vd_source=9a6bf3f0546e45af2384d1aa9db5309b", "https://www.bilibili.com/video/BV1E4411P7oR/?p=9&amp;share_source=copy_web&amp;vd_source=9a6bf3f0546e45af2384d1aa9db5309b")</f>
        <v>https://www.bilibili.com/video/BV1E4411P7oR/?p=9&amp;share_source=copy_web&amp;vd_source=9a6bf3f0546e45af2384d1aa9db5309b</v>
      </c>
      <c r="J26" t="inlineStr">
        <is>
          <t>分享白举纲的单曲《觥筹》: https://y.music.163.com/m/song?id=554241738&amp;userid=1316898734&amp;dlt=0846 (来自@网易云音乐)</t>
        </is>
      </c>
      <c r="K26"/>
      <c r="L26"/>
      <c r="M26" t="inlineStr">
        <is>
          <t>image.png</t>
        </is>
      </c>
      <c r="N26" t="inlineStr">
        <is>
          <t>原创</t>
        </is>
      </c>
      <c r="O26" s="3"/>
      <c r="P26"/>
      <c r="Q26" s="3"/>
      <c r="R26"/>
    </row>
    <row r="27" ht="25.5" customHeight="1">
      <c r="A27" t="inlineStr">
        <is>
          <t>真的吗</t>
        </is>
      </c>
      <c r="B27" t="inlineStr">
        <is>
          <t>2018</t>
        </is>
      </c>
      <c r="C27" s="2">
        <v>43259</v>
      </c>
      <c r="D27" t="inlineStr">
        <is>
          <t>笑多了脸会抽筋脸会痛
时刻警惕嘴角是否放松
生怕角度不够没有报酬
再坚持一分钟 疲惫就到尽头
弯不来腰的 靠边的 还想要找到位置的
过的多了 赔笑多了 脸会变僵 变厚的
你在夜里笑 黎明笑 笑得提心吊胆
扮演 在泪里笑 苦笑 笑得郁郁寡欢
不再简单
至于你多少有些桀骜
也想要导演一些微笑
再熟练掌握这些技巧 别吞进消化道
学不会那一套
弯不来腰的 靠边的 还想要找到位置的
过的多了 赔笑多了 脸会变僵 变厚
你在夜里笑 黎明笑 笑得提心吊胆
扮演 在泪里笑 苦笑 笑得郁郁寡欢
不再简单
刻下模版便宜卖 服务的人得明白
如今表面藏着都是买卖
当我不笑别奇怪 一脸铜锈没几块
背对你走的时候别奇怪
你在夜里笑 黎明笑 笑得提心吊胆
扮演 在泪里笑 苦笑 笑得郁郁寡欢
不再简单
你在夜里笑 黎明笑 笑得提心吊胆
扮演 在泪里笑 苦笑 笑得郁郁寡欢
不再简单</t>
        </is>
      </c>
      <c r="E27" t="inlineStr">
        <is>
          <t>作词 : 白举纲
作曲 : 白举纲/Erik Ron
制作人: Erik Ron,白举纲
混音师:David Bendeth
母带师: Ted Jensen
吉他:Erik Ron,白举纲
鼓: Matthew Marquez,殷之豪
贝斯:Erik Ron,郭凌峰
Programing: Erik Ron,白举纲
和声:白举纲</t>
        </is>
      </c>
      <c r="F27" t="inlineStr">
        <is>
          <t>统一角度，标准笑容
关于赔笑卖笑</t>
        </is>
      </c>
      <c r="G27" t="inlineStr">
        <is>
          <t>耳盲</t>
        </is>
      </c>
      <c r="H27" s="3"/>
      <c r="I27" s="3"/>
      <c r="J27" t="inlineStr">
        <is>
          <t>分享白举纲的单曲《真的吗》: https://163cn.tv/5Ahuy7X (来自@网易云音乐)</t>
        </is>
      </c>
      <c r="K27"/>
      <c r="L27"/>
      <c r="M27" t="inlineStr">
        <is>
          <t>image.png,image.png</t>
        </is>
      </c>
      <c r="N27" t="inlineStr">
        <is>
          <t>原创</t>
        </is>
      </c>
      <c r="O27" s="3"/>
      <c r="P27"/>
      <c r="Q27" s="3"/>
      <c r="R27"/>
    </row>
    <row r="28" ht="25.5" customHeight="1">
      <c r="A28" t="inlineStr">
        <is>
          <t>当我再见到你的时候</t>
        </is>
      </c>
      <c r="B28" t="inlineStr">
        <is>
          <t>2018</t>
        </is>
      </c>
      <c r="C28" s="2">
        <v>43259</v>
      </c>
      <c r="D28" t="inlineStr">
        <is>
          <t>当我再见到你的时候
陪你沏茶 陪你喝一壶好酒
晒着太阳聊着小时候
一起摔倒我背着你走
当我再见到你的时候
还要和你一起逛遍全地球
走到脚破帐篷雨也漏
嫌这风景看的还不够
当我再见到你的时候
翻着老照片还笑着你和我
想要怎么翻都翻不够
和你斗嘴藏在你身后
当我再见到你的时候
一起做饭 一起看着孩子走
在你说的那片山里头
听着故事睡在梦里头
当我再见到你的时候
一定别变样 还是那老面孔
就算没有记忆也足够
看你一眼我也就足够
当我再见到你的时候
还要你像以前拉着我的手
继续探险继续追着梦
累的时候你要背我走</t>
        </is>
      </c>
      <c r="E28" t="inlineStr">
        <is>
          <t>作词 : 白举纲
作曲 : 白举纲
制作人: 白举纲
混音师:David Bendeth
母带师: Ted Jensen
钢琴:Matt Rohde
大提琴:贺虓</t>
        </is>
      </c>
      <c r="F28" t="inlineStr">
        <is>
          <t>不会只是在梦里头
我先说一下这首歌钢琴的录制，是在Matt老师家里，Matt是美国的《The Voice》和《American Medal》的音乐总监。我当时就是想要那种空气当中流动着生活的声音那种感觉的东西，并没有去选择在棚里录，而是选择在他海边的家里面录，能听到虫鱼鸟鸣，能够听到空气、海风、海水的声音那种，就你仔细听，你会听到一些空气当中滴滴的那种声音。对于我来说，我想要这种最自然、最生活的声音和状态录这个钢琴。大提琴录制者他叫贺虓，他是我鼓手的一个朋友，他常年在瑞士那边的乐团里面，很厉害的一个大提琴家。”“这首歌唱就10分钟录完，或许真正录制没到10分钟，就是5分钟。所有东西全是一遍就过了，主要是情绪到位，我喜欢连贯的情绪的表达。因为之前的时候，刚唱第一句、第二句的时候，我哭了，哭得不行了，在蹲着，哭了10分钟。然后，好，第二遍再来的时候，一次就录完了。”
——白举纲《Music Radio音乐之声》</t>
        </is>
      </c>
      <c r="G28" t="inlineStr">
        <is>
          <t>耳盲</t>
        </is>
      </c>
      <c r="H28" s="3" t="str">
        <f>=HYPERLINK("https://www.bilibili.com/video/BV1E4411P7oR/?p=5&amp;share_source=copy_web&amp;vd_source=9a6bf3f0546e45af2384d1aa9db5309b", "https://www.bilibili.com/video/BV1E4411P7oR/?p=5&amp;share_source=copy_web&amp;vd_source=9a6bf3f0546e45af2384d1aa9db5309b")</f>
        <v>https://www.bilibili.com/video/BV1E4411P7oR/?p=5&amp;share_source=copy_web&amp;vd_source=9a6bf3f0546e45af2384d1aa9db5309b</v>
      </c>
      <c r="I28" s="3"/>
      <c r="J28" t="inlineStr">
        <is>
          <t>分享白举纲的单曲《当我再见到你的时候》: https://y.music.163.com/m/song?id=571340214&amp;userid=1316898734&amp;dlt=0846 (来自@网易云音乐)</t>
        </is>
      </c>
      <c r="K28"/>
      <c r="L28"/>
      <c r="M28" t="inlineStr">
        <is>
          <t>image.png</t>
        </is>
      </c>
      <c r="N28" t="inlineStr">
        <is>
          <t>原创</t>
        </is>
      </c>
      <c r="O28" s="3"/>
      <c r="P28"/>
      <c r="Q28" s="3"/>
      <c r="R28"/>
    </row>
    <row r="29" ht="25.5" customHeight="1">
      <c r="A29" t="inlineStr">
        <is>
          <t>颤 (Intro)</t>
        </is>
      </c>
      <c r="B29" t="inlineStr">
        <is>
          <t>2022</t>
        </is>
      </c>
      <c r="C29" s="2">
        <v>44914</v>
      </c>
      <c r="D29" t="inlineStr">
        <is>
          <t>（纯音乐）</t>
        </is>
      </c>
      <c r="E29" t="inlineStr">
        <is>
          <t>作词 : 白举纲
作曲 : 白举纲</t>
        </is>
      </c>
      <c r="F29" t="inlineStr">
        <is>
          <t>无论是身体器官，还是神经系统，在受到外界刺激后，会有“颤”动的应激反应，是不受控的条件反射。这种“颤”，便是第一首《被动失控》之前的感官状态，是整张专辑的机能激发。
这首Intro里所有的音色和动机都来源于《被动失控》。
我老觉得这张专辑差一个给人一听就为之一颤的Intro，这是全专的一个基点，像拉开序幕的那道帘。
我和阿星商量着把音色拆分，做成像机械故障一样的效果，链接到下一首歌的地方直接收掉，Intro就这样诞生啦！
希望你们听到的也是“颤”的感觉</t>
        </is>
      </c>
      <c r="G29" t="inlineStr">
        <is>
          <t>我要全力奔向你</t>
        </is>
      </c>
      <c r="H29" s="3"/>
      <c r="I29" s="3"/>
      <c r="J29" t="inlineStr">
        <is>
          <t>分享白举纲的单曲《颤 (Intro)》: https://163cn.tv/5Agekrf (来自@网易云音乐)</t>
        </is>
      </c>
      <c r="K29"/>
      <c r="L29"/>
      <c r="M29" t="inlineStr">
        <is>
          <t>image.png</t>
        </is>
      </c>
      <c r="N29" t="inlineStr">
        <is>
          <t>原创</t>
        </is>
      </c>
      <c r="O29" s="3"/>
      <c r="P29"/>
      <c r="Q29" s="3"/>
      <c r="R29"/>
    </row>
    <row r="30" ht="25.5" customHeight="1">
      <c r="A30" t="inlineStr">
        <is>
          <t>被动失控</t>
        </is>
      </c>
      <c r="B30" t="inlineStr">
        <is>
          <t>2022</t>
        </is>
      </c>
      <c r="C30" s="2">
        <v>44914</v>
      </c>
      <c r="D30" t="inlineStr">
        <is>
          <t>憋太久会疯，听太久会懵，身体逐渐失重；
（逐渐失重）
情绪被冷冻，感动被消融，理智逐渐升空；
（逐渐升空）
头晕目眩脑海翻涌，四肢叛变，商量着在分头行动；
神经衰弱发号指令没用，全身细胞失控，瞳孔慢慢集中！
憋太久会疯，听太久会懵，身体逐渐失重；
（逐渐失重）
情绪被冷冻，感动被消融，理智逐渐升空；
（逐渐升空）
头晕目眩脑海翻涌，四肢叛变，商量着在分头行动；
神经衰弱发号指令没用，全身细胞失控，瞳孔慢慢集中！
你的我的真的假的，
说些什么，梦言梦语梦里没有过错；
你的我的真的假的，
分辨什么，越是苛刻也显得越做作；
你的我的真的假的，
去他的有的没的！
头晕目眩脑海翻涌，四肢叛变，商量着在分头行动；
神经衰弱发号指令没用，全身细胞失控，瞳孔慢慢集中！
头晕目眩脑海翻涌，在分头行动；
神经衰弱发号指令没用，瞳孔慢慢集中！</t>
        </is>
      </c>
      <c r="E30" t="inlineStr">
        <is>
          <t>作词 : 白举纲
作曲 : 白举纲
编曲 : 张星
Beats Maker ^_^：白举纲
吉他贝斯：张星
录音：郑仕伟
和声编写：郑仕伟、白举纲
混音：Rhys May
母带：Ted Jensen
音乐制作：耳肆山白 Music Studio
制作人：白举纲、张星
出品公司：天娱传媒
出品人：申亚东
项目经理/经纪人：Maggie Xue
A&amp;R企划：王瑜 Fish Wong
宣传营销：晓春/李彤/张梦迪/陈李奕
封面/字体设计：毛婷
项目协力：苑亿</t>
        </is>
      </c>
      <c r="F30" t="inlineStr">
        <is>
          <t>你的我的真的假的，去他的有的没的！
《被动失控》是House、Future House、Tech、前卫金属等多风格的融合。失序的环境，就像是煮青蛙的温水，等反应过来的时候，已经在失控的边缘。与其陷入在不知所措的内耗之中，不如放任这种对自我的失控。丢掉时间和思考，放松身体，放下理智，让身心都通过音乐进入到一种真空状态。
这首歌的灵感来源于我之前做的一个以House音乐为基础的Demo。
我一直觉得这个Demo很酷，但是没有想好主题该写什么，直到写完了《我要全力奔向你》，明确了整张的立意之后，我当下脑子里就产生了整张专辑要听起来就像一幕剧一样的想法。
整个专辑听下来的过程就是“奔向你”的过程，在当中出现的种种情绪，发生的种种事情。
《被动失控》这个非常符合我对当下的感受就顺其自然地写了出来，也就正式拉开了这张专辑的序幕！</t>
        </is>
      </c>
      <c r="G30" t="inlineStr">
        <is>
          <t>我要全力奔向你</t>
        </is>
      </c>
      <c r="H30" s="3"/>
      <c r="I30" s="3"/>
      <c r="J30" t="inlineStr">
        <is>
          <t>分享白举纲的单曲《被动失控》: https://163cn.tv/5AfO8RR (来自@网易云音乐)</t>
        </is>
      </c>
      <c r="K30"/>
      <c r="L30"/>
      <c r="M30" t="inlineStr">
        <is>
          <t>image.png</t>
        </is>
      </c>
      <c r="N30" t="inlineStr">
        <is>
          <t>原创</t>
        </is>
      </c>
      <c r="O30" s="3"/>
      <c r="P30"/>
      <c r="Q30" s="3"/>
      <c r="R30"/>
    </row>
    <row r="31" ht="25.5" customHeight="1">
      <c r="A31" t="inlineStr">
        <is>
          <t>去他的</t>
        </is>
      </c>
      <c r="B31" t="inlineStr">
        <is>
          <t>2022</t>
        </is>
      </c>
      <c r="C31" s="2">
        <v>44914</v>
      </c>
      <c r="D31" t="inlineStr">
        <is>
          <t>谁越是拥有越孤独，
像闭塞的云层，拥挤的雨珠；
谁越是祈盼越无助，
像静止的风筝，受伤的麋鹿。
呜呼～
懂了没？
呜呼～
抽象的描绘。
呜呼～
看见没？
呜呼～
懂事的傀儡！
闭目禁语手绑住，拒绝眼神接触。
真言真理真难读，
去他的谎言，去他的倾诉；
争利争名争前途，
去他的危险，去他的归宿；
可怜自负的怪物，
描绘世界的残酷，
去他的，谁都不在乎
（啊不在乎）
诗里的悲
深夜流淌是泪水
来来回回
随她游离在尘世作尘灰
沉浸式体会，皆是来自他人的脸嘴；
呆久了会崩溃，神经刺痛也不会有反馈！
扔错了方向，手中那命运的标枪，
刺痛了心脏，是苏醒还是催促闭幕式拉响！
去他的谎言，去他的倾诉；
去他的危险，去他的归宿。
去他的谎言，去他的倾诉；
去他的危险，去他的归宿。
（真言真理真难读，）
（争利争名争前途，）
真言真理真难读，
去他的谎言，去他的倾诉；
争利争名争前途，
去他的危险，去他的归宿；
可怜自负的怪物，
描绘世界的残酷，
去他的，谁都不在乎。
去他的，谁都不在乎。</t>
        </is>
      </c>
      <c r="E31" t="inlineStr">
        <is>
          <t>作词 : 白举纲
作曲 : 白举纲
编曲 : 张星
Beats Maker ^_^：白举纲
吉他贝斯：张星
录音：郑仕伟
和声编写：郑仕伟/白举纲
混音：Rhys May
母带：Ted Jensen
音乐制作：耳肆山白 Music Studio
制作人：白举纲/张星
出品公司：天娱传媒
出品人：申亚东
项目经理/经纪人：Maggie Xue
A&amp;R企划：王瑜 Fish Wong
宣传营销：晓春/李彤/张梦迪/陈李奕
封面/字体设计：毛婷
项目协力：苑亿</t>
        </is>
      </c>
      <c r="F31" t="inlineStr">
        <is>
          <t>真言真理真难读 争利争名争前途 去他的 谁都不在乎
这首运用了808、电子和Trap的摇滚作品。歌名便是这首歌的主题——白举纲对于“自我认同”的一种诠释。自我认同，首要任务，就是排除外界的干扰和压力。在被动失控的时候，更不需要去感受和理解那么多是是非非，世界充满了不负责任的评价和要求，我们可以不在乎，也不应该去在乎！也只有先做到这一点，才能慢慢认识到自己最真实的样子，做好觉醒的准备。
这首歌的Demo其实我在之前的直播和大家分享过，我觉得太酷了，当时实在我忍不住想要和大家分享。但那个时候分享的只是我自己编曲的版本，还没有现在的这么细腻，其实早早的就已经让大家听到啦，哈哈哈哈😂
这首歌的歌名其实我纠结了很久，你们应该也猜得到是为什么吧！
甚至想过《随她吧2.0》，《随她吧 Plus》，最后都发现，“怎么取个歌名都这么矫情麻烦，去他的！就叫去他的！”然后歌名就这样定了下来</t>
        </is>
      </c>
      <c r="G31" t="inlineStr">
        <is>
          <t>我要全力奔向你</t>
        </is>
      </c>
      <c r="H31" s="3"/>
      <c r="I31" s="3"/>
      <c r="J31" t="inlineStr">
        <is>
          <t>分享白举纲的单曲《去他的》: https://163cn.tv/5AgSrED (来自@网易云音乐)</t>
        </is>
      </c>
      <c r="K31"/>
      <c r="L31"/>
      <c r="M31" t="inlineStr">
        <is>
          <t>image.png</t>
        </is>
      </c>
      <c r="N31" t="inlineStr">
        <is>
          <t>原创</t>
        </is>
      </c>
      <c r="O31" s="3"/>
      <c r="P31"/>
      <c r="Q31" s="3"/>
      <c r="R31"/>
    </row>
    <row r="32" ht="25.5" customHeight="1">
      <c r="A32" t="inlineStr">
        <is>
          <t>声嘶力竭</t>
        </is>
      </c>
      <c r="B32" t="inlineStr">
        <is>
          <t>2022</t>
        </is>
      </c>
      <c r="C32" s="2">
        <v>44914</v>
      </c>
      <c r="D32" t="inlineStr">
        <is>
          <t>低头哈腰，时刻保持微笑，
谦逊礼貌，对全世界都说好。
步伐要轻巧，像闭眼走独木桥，
眼神要藏好，专注耳边的信号。
算了吧！
这么拙劣。
回家吧！
回家捂着被子偷偷地哭吧。
内心的纷扰，积成暴雨在咆哮，
撕裂的嘴角，流言蜚语在逃跑。
感同身受没有尽头，
何必搞得头破血流，找罪受。
是我愚蠢至极，
演绎不着边际，
感官刺激，歇斯底里，
也并非我所愿意。
疯狗般去演绎，
只为掌声和敬意，
卑躬屈膝，身心俱疲，
如何演绎我自己？
给我一个你的选择，
你到底想要什么？
想要狂欢我给你，
想要浪漫我也给你，
只要你愿意，
再一次按我的，
去演绎。
可以接受巨烂，
可以变得悲惨，
可以没有狂欢，
只求不必残喘。
可以接受巨烂，
可以变得悲惨，
可以没有狂欢，
只求不必残喘。
可以接受巨烂，
可以变得悲惨，
可以没有狂欢，
只求不必残喘。
可以接受巨烂，
可以变得悲惨，
可以没有狂欢，
只求不必残喘。
可以接受巨烂，
可以变得悲惨，
可以没有狂欢，
只求不必残喘。
可以接受巨烂，
可以变得悲惨，
可以没有狂欢，
只求不必残喘。
可以接受巨烂，
可以变得悲惨，
可以没有狂欢，
只求不必残喘。
可以接受巨烂，
可以变得悲惨，
可以没有狂欢，
只求不必残喘。
我，一定有罪，
我，需要忏悔。
贪嗜的双眸，
紧盯空荡的座位。
你，判我有罪，
我，绝不忏悔，
我，绝不忏悔，
不忏悔，不忏悔。
是我愚蠢至极，
演绎不着边际，
歇斯底里，
也并非我所愿意。
疯狗般去演绎，
只为掌声和敬意，
卑躬屈膝，身心俱疲！
是我愚蠢至极，
演绎不着边际，
感官刺激，歇斯底里，
也并非我所愿意。
疯狗般去演绎，
只为掌声和敬意，
卑躬屈膝，身心俱疲，
如何演绎我自己？</t>
        </is>
      </c>
      <c r="E32" t="inlineStr">
        <is>
          <t>作词 : 白举纲
作曲 : 白举纲
编曲 : 郭小峰
吉他贝斯：郭小峰
录音：郑仕伟
和声编写：郑仕伟/白举纲
弦乐：星洲爱乐团
混音：Rhys May
母带：Ted Jensen
音乐制作：耳肆山白 Music Studio
制作人：白举纲/郭小峰
出品公司：天娱传媒
出品人：申亚东
项目经理/经纪人：Maggie Xue
A&amp;R企划：王瑜 Fish Wong
宣传营销：晓春/李彤/张梦迪/陈李奕
封面/字体设计：毛婷
项目协力：苑亿</t>
        </is>
      </c>
      <c r="F32" t="inlineStr">
        <is>
          <t>如果有一天我迷失了自己，我真的希望我能够坦然去面对自己的脆弱和所有的问题，坚定自己，向那些拉着我向后的人喊出“不！”……
我看歌曲评论发现大家对这首歌都蛮有感觉和想法的哈
我其实对这首歌也想法蛮多的，最开始我还想自己来编这首歌中间的弦乐（后面我给大家分享一下我搞的版本）
言归正传，这首歌你们心目中的MV是什么样子？我想来听听看各位网络大佬的“脑洞”到底有多大
你 判我有罪 我 绝不忏悔
这首融合了管弦乐、摇滚乐、Jazz、念唱，乃至合唱团的作品，是白举纲这张专辑里研磨时间最久的一首歌。歌曲展现了一个企图竭尽所能，来讨好众人的男主角。本以为演好别人期待中的自己，就能获得全世界的掌声和敬意。没想到，偏偏成为了压死自己的最后一根稻草，并从此觉醒，没有了对别人口中好坏对错的敏感脆弱，也没有一定要通过伪装去获得的肯定和喝彩。就像白举纲饰演的音乐剧《人间失格》中说到“只有我能定义我自己，只有我能判我自己“，其他任何人都没有这个权利。</t>
        </is>
      </c>
      <c r="G32" t="inlineStr">
        <is>
          <t>我要全力奔向你</t>
        </is>
      </c>
      <c r="H32" s="3" t="str">
        <f>=HYPERLINK("http://t.cn/A6C1f068", "http://t.cn/A6C1f068")</f>
        <v>http://t.cn/A6C1f068</v>
      </c>
      <c r="I32" s="3"/>
      <c r="J32" t="inlineStr">
        <is>
          <t>分享白举纲的单曲《声嘶力竭》: https://163cn.tv/5Agm7vz (来自@网易云音乐)</t>
        </is>
      </c>
      <c r="K32"/>
      <c r="L32"/>
      <c r="M32" t="inlineStr">
        <is>
          <t>image.png</t>
        </is>
      </c>
      <c r="N32" t="inlineStr">
        <is>
          <t>原创</t>
        </is>
      </c>
      <c r="O32" s="3"/>
      <c r="P32"/>
      <c r="Q32" s="3"/>
      <c r="R32"/>
    </row>
    <row r="33" ht="25.5" customHeight="1">
      <c r="A33" t="inlineStr">
        <is>
          <t>没有人喜欢^_^</t>
        </is>
      </c>
      <c r="B33" t="inlineStr">
        <is>
          <t>2022</t>
        </is>
      </c>
      <c r="C33" s="2">
        <v>44867</v>
      </c>
      <c r="D33" t="inlineStr">
        <is>
          <t>（没有人喜欢愁眉苦脸，）
（没有人喜欢听末日预言；）
（没有人喜欢一成不变，）
（没有人喜欢…）
夏天的风扇空调经常会断电，
翻来覆去的夜晚注定又要失眠；
难道要将就过每一天？
真的要为爱高呼宣言吗？
这脑袋为何不听我劝？
不喜欢的统统都在我身边！
没有人喜欢愁眉苦脸，
没有人喜欢听末日预言；
没有人喜欢一成不变，
没有人喜欢总是自我催眠；
世界太大，纷繁复杂，
不必什么都在乎吧！
太阳会升起也会落下，
做一个取悦自己的傻瓜！
（没有人喜欢）
睁开眼反正又是全新的一天，
倒数时间迎接澎湃袭来的新鲜；
不用再将就过每一天，
不用再为爱高呼宣言，
不用再熬夜担心疲倦，
不喜欢的统统都远离身边！
没有人喜欢愁眉苦脸，
没有人喜欢听末日预言；
没有人喜欢一成不变，
没有人喜欢总是自我催眠；
世界太大，纷繁复杂，
不必什么都在乎吧！
太阳会升起也会落下，
做一个取悦自己的傻瓜！
大雨里奔跑，偶尔哭着笑，
人生宣言有多好并不重要，
潇洒地转身去冒险去寻找！
没有人喜欢愁眉苦脸，
没有人喜欢听末日预言；
没有人喜欢一成不变，
没有人喜欢总是自我催眠；
世界太大，纷繁复杂，
不必什么都在乎吧！
太阳会升起也会落下，
做一个取悦自己的傻瓜。
（没有人喜欢）
（没有人喜欢）</t>
        </is>
      </c>
      <c r="E33" t="inlineStr">
        <is>
          <t>编曲：郭小峰
Beats maker^_^：白举纲
吉他/贝斯：郭小峰
录音：郑仕伟
混音：Rhys May
母带：Ted Jensen
音乐制作工作室：耳肆山白Music Studio
出品公司：天娱传媒
出品人：申亚东
项目经理/经纪人：Maggie Xue
A&amp;R企划：王瑜 Fish Wong
宣传营销：晓春/李彤/张梦迪/陈李奕
封面/字体设计：毛婷
项目协力：苑亿</t>
        </is>
      </c>
      <c r="F33" t="inlineStr">
        <is>
          <t>愿我们都能拥有 “被讨厌的勇气” 在世界中心 略略略 ：P
这首直言不讳的单曲《没有人喜欢^_^》，是白举纲“傻瓜原力”的又一全新代表作，亦是来自他的这一份“被讨厌的勇气”。这首歌无论是歌词内容，还是音乐编曲上的表达，都显得特别简单直白，在整张专辑的编排里却起到了一个转折点的作用。在主歌的部分，白举纲第一次在流行Punk风格里，尝试融合常见于Jazz的Double Bass，让听感上松弛愉悦。没有人喜欢，那又怎样，这“被讨厌的勇气”，来自对真实自我的认可。接纳自己所有的样子，就是自我内耗的出口。《声嘶力竭》中觉醒，没有人能审判或要求任何人同他人保持一致。在拥有了“被讨厌的勇气”后，开始接纳真实的自己，我们不必什么都在乎，不必什么都拥有，不必什么都感受。
这首歌写的时候是来自于阿星的一个弹吉他视频，他发完了之后，我觉得“诶，这个东西蛮好听”！
然后就拿着这个动机做了一个beat，做完之后就继续完成这首歌的旋律和歌词，好像一个晚上非常顺利就写完了，还蛮快的！（我使用了语音转文字功能，打字速度变化了，不会两个小时）</t>
        </is>
      </c>
      <c r="G33" t="inlineStr">
        <is>
          <t>我要全力奔向你</t>
        </is>
      </c>
      <c r="H33" s="3" t="str">
        <f>=HYPERLINK("http://t.cn/A6oje6Zc", "http://t.cn/A6oje6Zc")</f>
        <v>http://t.cn/A6oje6Zc</v>
      </c>
      <c r="I33" s="3"/>
      <c r="J33" t="inlineStr">
        <is>
          <t>分享白举纲的单曲《没有人喜欢^_^》: https://163cn.tv/5AgN8Pv (来自@网易云音乐)</t>
        </is>
      </c>
      <c r="K33"/>
      <c r="L33"/>
      <c r="M33" t="inlineStr">
        <is>
          <t>image.png</t>
        </is>
      </c>
      <c r="N33" t="inlineStr">
        <is>
          <t>原创</t>
        </is>
      </c>
      <c r="O33" s="3"/>
      <c r="P33"/>
      <c r="Q33" s="3"/>
      <c r="R33"/>
    </row>
    <row r="34" ht="25.5" customHeight="1">
      <c r="A34" t="inlineStr">
        <is>
          <t>我们不必什么都感受</t>
        </is>
      </c>
      <c r="B34" t="inlineStr">
        <is>
          <t>2022</t>
        </is>
      </c>
      <c r="C34" s="2">
        <v>44914</v>
      </c>
      <c r="D34" t="inlineStr">
        <is>
          <t>信息量超标又超重
大脑失衡许久判断能力慢慢走丢
耳朵太累想下钟
可心脏和隔壁都在装修
电钻的嘶吼声居然演奏出了巴赫的前奏
我们不必什么都感受
管它末日海啸上帝在咳嗽
眼泪供不应求一半时间要用来调休
我们不必什么都感受
今天放弃关心人类的荒谬
追踪一只大象迁徙途中会不会走丢
我们不必什么都感受把情绪统统回收
超出负荷的信息一概不吸收
屏幕内外评论专员接力秀
我不介意把这一棒搞丢
什么都感受思考注定被左右
我的视线从来不需要导购
浏览越多想象力越紧凑
松开双手或许更自由
（李承铉）
在家无聊躺着做个梦
梦里可以像是趴在地上享受日晒的猫和狗
严肃是个粗鲁的借口
（白举纲/李承铉）
就算听一首歌世界不会大难临头
（李承铉）
我们不必什么都感受
管它末日海啸上帝在咳嗽
（白举纲）
眼泪供不应求一半时间要用来调休
我们不必什么都感受
今天放弃关心人类的荒谬
跟随风的方向去往隔绝信号的绿洲
我们不必什么都感受把情绪统统回收
超出负荷的信息一概不吸收
屏幕内外评论专员接力秀
我不介意把这一棒搞丢
什么都感受思考注定被左右
我的视线从来不需要导购
浏览越多想象力越紧凑
松开双手或许更自由
（什么都感受把情绪统统回收）
（超出负荷的信息一概不吸收）
（屏幕内外评论专员接力秀）
（我不介意把这一棒搞丢）
（什么都感受思考注定被左右）
（我的视线从来不需要导购）
（浏览越多想象力越紧凑）
（松开双手）
或许更自由</t>
        </is>
      </c>
      <c r="E34" t="inlineStr">
        <is>
          <t>作词 : 万一/白举纲
作曲 : 白举纲
编曲：郭峻江
吉他：白举纲
录音：郑仕伟
混音：Rhys May
母带：Ted Jensen
制作人：白举纲
音乐制作工作室：耳肆山白Music Studio
出品公司：天娱传媒
出品人：申亚东
项目经理/经纪人：Maggie Xue
A&amp;R企划：王瑜 Fish Wong
宣传营销：晓春/李彤/张梦迪/陈李奕
封面/字体设计：毛婷
项目协力：苑亿</t>
        </is>
      </c>
      <c r="F34" t="inlineStr">
        <is>
          <t>用一首歌 主动降噪  去往隔绝信号的绿洲
主动降噪单曲《我们不必什么都感受》，是白举纲专辑里非常少见的合唱曲，特别邀请李承铉共同发声。李承铉表示，歌词里这句“松开双手，或许更自由。”就像他认识的白举纲，永远热情、真诚勇敢、乐观积极的生活态度，他的作品，往往能给人在欢快的音乐中，带来一些思考。这首歌，白举纲认为是新时代融合Pop风格，融合了复古、Funk、Soul、Future Pop和Punk等多种节奏律动类型，并用电子音乐的形式呈现。他创作这首歌的时候，正是今年人们最焦虑的时候，网络上充斥着各种真假难辨的信息，引起更多过度共情的讨论。当下的环境，带给自觉和敏感的人很多压力，想要去关注外界发生的事情，却往往为其所累。创作过程，其实也是某种程度的自我说服和安抚。不是不感受，而是接纳并忠于自己的本真去感受，听见自己心里的声音。
摊牌了！
这次和铉哥的合作新单是我蓄谋已久的计划（从哥哥初舞台算起）！
这首歌的动机是去年夏天凌晨三点还在编曲的哥哥宿舍里诞生的。
虽然这个动机没能出现在哥哥的舞台上，但是它《我们不必什么都感受》在今天成为了我和铉哥合作的开始！
希望各位听众朋友可以戴上耳机“主动降噪”🎧，用一首歌的时间和我们一起前往这个隔绝信号的绿洲，在那里尽情的感受轻松的自己吧！
我之前有讲过这首歌最前面的那个pluck音色是来自于我在哥哥的时候编的鞋子特大号（比较Urban的一个版本）。
但后来我的这个版本没有被使用，所以我就把它保留了下来，当时铉哥非常喜欢这个动机，后来我就把它做成了这首歌！
在轻松的律动里感受一丝丝的思考</t>
        </is>
      </c>
      <c r="G34" t="inlineStr">
        <is>
          <t>我要全力奔向你</t>
        </is>
      </c>
      <c r="H34" s="3" t="str">
        <f>=HYPERLINK("http://t.cn/A6KhvrZA", "http://t.cn/A6KhvrZA")</f>
        <v>http://t.cn/A6KhvrZA</v>
      </c>
      <c r="I34" s="3"/>
      <c r="J34" t="inlineStr">
        <is>
          <t>分享白举纲/李承铉的单曲《我们不必什么都感受》: https://163cn.tv/5AgaHa9 (来自@网易云音乐)</t>
        </is>
      </c>
      <c r="K34"/>
      <c r="L34" t="inlineStr">
        <is>
          <t>李承铉</t>
        </is>
      </c>
      <c r="M34" t="inlineStr">
        <is>
          <t>image.png</t>
        </is>
      </c>
      <c r="N34" t="inlineStr">
        <is>
          <t>原创</t>
        </is>
      </c>
      <c r="O34" s="3"/>
      <c r="P34"/>
      <c r="Q34" s="3"/>
      <c r="R34"/>
    </row>
    <row r="35" ht="25.5" customHeight="1">
      <c r="A35" t="inlineStr">
        <is>
          <t>Shy Boy (o^^o)</t>
        </is>
      </c>
      <c r="B35" t="inlineStr">
        <is>
          <t>2022</t>
        </is>
      </c>
      <c r="C35" s="2">
        <v>44893</v>
      </c>
      <c r="D35" t="inlineStr">
        <is>
          <t>嗨～
害羞的男孩，手只往兜里揣；
低头的样子也会很帅；
嗨～
不理不睬的男孩，内心火热，外表冷淡淡；
待人友善，对爱也期盼。
表达不清没关系，有人能明白你的含蓄；
真心诚意是你的武器，来对抗生活这场游戏。
闭上眼继续飞行，遨游在你的秘密仙境；
享受你的独特个性，不用明白太多的道理。
戴上耳机，天地任我走；
猫猫狗狗，是我好朋友；
养花种草，倾诉我感受；
躺在家中，当一块石头。
擦出火花点亮夜空，
想象远方的星星是我，
闪烁距离是我在对你示好招手。
表达不清没关系，有人能明白你的含蓄；
真心诚意是你的武器，来对抗生活这场游戏。
闭上眼继续飞行，遨游在你的秘密仙境；
享受你的独特个性，不用明白太多的道理。
找啊找啊找朋友，找到一个好朋友。
找啊找啊找朋友，找到一个好朋友。
表达不清没关系，有人能明白你的含蓄；
真心诚意是你的武器，来对抗生活这场游戏。
闭上眼继续飞行，遨游在你的秘密仙境；
享受你的独特个性，不用明白太多的道理。</t>
        </is>
      </c>
      <c r="E35" t="inlineStr">
        <is>
          <t>作词 : 白举纲
作曲 : 白举纲
编曲：郑仕伟
吉他贝斯：郑仕伟
录音：郑仕伟
和声编写：郑仕伟、白举纲
混音：Rhys May
母带：Ted Jensen
音乐制作：耳肆山白 Music Studio
制作人：白举纲
采样：《找朋友》
出品公司：天娱传媒
出品人：申亚东
项目经理/经纪人：Maggie Xue
A&amp;R企划：王瑜 Fish Wong
宣传营销：晓春/李彤/张梦迪/陈李奕
封面/字体设计：毛婷
项目协力：苑亿</t>
        </is>
      </c>
      <c r="F35" t="inlineStr">
        <is>
          <t>找啊找啊找朋友 找到一个好朋友
这首融合了Funk、Fusion、Hawaii，以及Old School风格的“Boy”，是白举纲“社恐星人的自我调侃”。“我自己曾经就是一个标准的Shy Boy。”白举纲回忆说，这首歌有一大部分其实是现在的自己在回看那时候的自己，所以歌曲一直在第三人视角和第一人视角之间切换。“其实，现在我还是那个Shy Boy，但我学会了坦然地接受、欣赏自己，从而能勇敢地表达自己。”歌曲的Bridge引用了耳熟能详的儿歌“找啊找啊找朋友，找到一个好朋友”，白举纲说，这里找到的好朋友，应该就是我们自己。如果说专辑里《没有人喜欢》是答案和表象，那《Shy Boy》就是起源和本质。无论自己是一块躺平的石头，还是在远方闪烁的星星，当你拥有了被讨厌的勇气，可以不必什么都感受，那就已经预备好，去奔赴自己的热爱，孤独的尽头，反而是自由。
Shy Boy这首歌我最开始的编曲完全不是这样的，差别很大，后面有机会也可以和大家分享一下，我自己编的版本，但是现在这个版本我非常喜欢，轻快活泼和我想传递的内容很搭！
看过这个MV的小伙伴，我也希望大家可以和这首歌里的主人公“我”一样开开心心的，能够出gāi的出gāi，好好去享受自己的生活！</t>
        </is>
      </c>
      <c r="G35" t="inlineStr">
        <is>
          <t>我要全力奔向你</t>
        </is>
      </c>
      <c r="H35" s="3" t="str">
        <f>=HYPERLINK("http://t.cn/A6KYh4Tr", "http://t.cn/A6KYh4Tr")</f>
        <v>http://t.cn/A6KYh4Tr</v>
      </c>
      <c r="I35" s="3"/>
      <c r="J35" t="inlineStr">
        <is>
          <t>分享白举纲的单曲《Shy Boy (o^^o)》: https://163cn.tv/5AfIIAN (来自@网易云音乐)</t>
        </is>
      </c>
      <c r="K35"/>
      <c r="L35"/>
      <c r="M35" t="inlineStr">
        <is>
          <t>image.png</t>
        </is>
      </c>
      <c r="N35" t="inlineStr">
        <is>
          <t>原创</t>
        </is>
      </c>
      <c r="O35" s="3"/>
      <c r="P35"/>
      <c r="Q35" s="3"/>
      <c r="R35"/>
    </row>
    <row r="36" ht="25.5" customHeight="1">
      <c r="A36" t="inlineStr">
        <is>
          <t>不会结束的捉迷藏</t>
        </is>
      </c>
      <c r="B36" t="inlineStr">
        <is>
          <t>2022</t>
        </is>
      </c>
      <c r="C36" s="2">
        <v>44914</v>
      </c>
      <c r="D36" t="inlineStr">
        <is>
          <t>你又偷偷藏在了哪里？
你是不是天上的那一颗星星？
黑夜把你显得格外亲近，
我伸出手想抓，却无法抓到你。
你又偷偷藏在了哪里？
你是不是在我脚下的影子里？
路灯把你显得格外清晰，
我伸出手想抓，才发现那是我自己。
我想见到你，为何如此费力；
想见到你，为何梦总是醒。
一天一遍放映在眼前，
一天一遍默念会实现。
想要和你玩一场不会结束的游戏，
毫无保留找寻每一处有你的回忆。
为何这场捉迷藏我始终找不到你，
我费尽了力气却像丢在迷宫的玩具。
你又偷偷藏在了哪里？
你是不是天上的那一颗星星？
黑夜把你显得格外亲近，
我伸出手想抓，却无法抓到你。
你又偷偷藏在了哪里？
你是不是在我脚下的影子里？
路灯把你显得格外清晰，
我伸出手想抓，才发现那是我自己。
我想见到你，为何如此费力；
想见到你，为何梦总是醒。
一天一遍放映在眼前，
一天一遍默念会实现。
想要和你玩一场不会结束的游戏，
毫无保留找寻每一处有你的回忆。
为何这场捉迷藏我始终找不到你，
我费尽了力气却像丢在迷宫的玩具。
你是不是天上的那一颗星星？
我伸出手想抓，却无法抓到你。
你是不是在我脚下的影子里？
我伸出手想抓，才发现那是我自己。</t>
        </is>
      </c>
      <c r="E36" t="inlineStr">
        <is>
          <t>作词 : 白举纲
作曲 : 白举纲
编曲 : 张星
Beats maker^_^：白举纲
吉他贝斯：张星
录音：郑仕伟
和声编写：郑仕伟/白举纲
混音：Rhys May
母带：Ted Jensen
音乐制作：耳肆山白 Music Studio
制作人：白举纲/张星
出品公司：天娱传媒
出品人：申亚东
项目经理/经纪人：Maggie Xue
A&amp;R企划：王瑜 Fish Wong
宣传营销：晓春/李彤/张梦迪/陈李奕
封面/字体设计：毛婷
项目协力：苑亿</t>
        </is>
      </c>
      <c r="F36" t="inlineStr">
        <is>
          <t>如果我偶尔会回忆起彼时的故事，我希望我能带着最美好的心愿去思念去触碰。就像玩了一场捉迷藏，不管你藏到哪里，我永远都会找到你，哪怕你是天上的星星，我也能马上认出你，对你招手示好，我要永存这份美好！……
这首歌第一次构建出来是在我看完《人生大事》的晚上🌃（我真的看得好感动哦🥲）
我也特别希望这首歌能够有玩具质感，像小朋友的感觉去完成这首歌。
于是就找了这首歌开头的那个玩具般的音色，而且我也希望像这种思念带来的美好和力量是永远不会停下来的，所以我想让这首歌无论在什么样的调式下都能够完整的进行，我就把这首歌做一个非常规处理，每一段升半音，总共在这首歌里面相当于有三个调，就像一场捉迷藏游戏，可以一直玩下去
你会不会就是偷偷地藏在天上的那一颗星星呢？
融合了Toy Sound、8bit、弦乐的Indie Rock，是一场不会结束的浪漫追寻。对一个人的思念，可以是美好又温馨的期待，就像儿时一起玩过的捉迷藏游戏。“就算你变成了一颗星星，我也一定会找到你，那颗星星就是你！”白举纲说。这首歌总共升调了三次，但最后却回到了开头的主题，就像捉迷藏一样兜兜转转，寓意人生里的因缘际会，因有心之所想，我们都相信着会再相逢的希望。</t>
        </is>
      </c>
      <c r="G36" t="inlineStr">
        <is>
          <t>我要全力奔向你</t>
        </is>
      </c>
      <c r="H36" s="3"/>
      <c r="I36" s="3"/>
      <c r="J36" t="inlineStr">
        <is>
          <t>分享白举纲的单曲《不会结束的捉迷藏》: https://163cn.tv/5AfAAM4 (来自@网易云音乐)</t>
        </is>
      </c>
      <c r="K36"/>
      <c r="L36"/>
      <c r="M36" t="inlineStr">
        <is>
          <t>image.png</t>
        </is>
      </c>
      <c r="N36" t="inlineStr">
        <is>
          <t>原创</t>
        </is>
      </c>
      <c r="O36" s="3"/>
      <c r="P36"/>
      <c r="Q36" s="3"/>
      <c r="R36"/>
    </row>
    <row r="37" ht="25.5" customHeight="1">
      <c r="A37" t="inlineStr">
        <is>
          <t>我要全力奔向你</t>
        </is>
      </c>
      <c r="B37" t="inlineStr">
        <is>
          <t>2022</t>
        </is>
      </c>
      <c r="C37" s="2">
        <v>44914</v>
      </c>
      <c r="D37" t="inlineStr">
        <is>
          <t>（ Oh~ Oh~ Oh~）
我要奔向你，
哪怕你是狂风暴雨，再难以靠近，
有你就是天晴！
我要抱紧你，
用我滚烫身躯触碰你，再包裹你，
哪怕冰冷的心！
我要做白日坠落的那颗星，
穿越荆棘丛林！
沙漠绿洲的雨，
是我祈祷与你紧紧相依！
我要做赤道落雪的那片云，
遮挡烈阳雷鸣！
地心翻涌的晴，
是我在奔向，在奔向，你！
（ Oh~ Oh~ Oh~）
哪怕世界崩塌，也停不下，
我全力奔向你的步伐！
我要奔向你，
就用繁星闪烁的呼吸，在梦里，
泛起温柔涟漪！
我要抱紧你，
就用火山迸发的力气，和热情，
交融在火里！
我要做白日坠落的那颗星，
穿越荆棘丛林！
沙漠绿洲的雨，
是我祈祷与你紧紧相依！
我要做赤道落雪的那片云，
遮挡烈阳雷鸣！
地心翻涌的晴，
是我在奔向，在奔向，你！
双眼紧闭，和你穿过丛林！
昼夜不停，要时刻抓紧你！
余下风景，最美的都是你！
（ Oh~ Oh~ Oh~）
双眼紧闭，和你穿过丛林！
昼夜不停，要时刻抓紧你！
余下风景，最美的都是你！
（ Oh~ Oh~ Oh~）
双眼紧闭，和你穿过丛林！
昼夜不停，要时刻抓紧你！
余下风景，最美的都是你！
（ Oh~ Oh~ Oh~）
奔向你！
（ Oh~ Oh~ Oh~）
我要奔向你！
我要抱紧你！
（ Oh~ Oh~ Oh~）
哪怕世界崩塌，也停不下，
我全力奔向你！
（ Oh~ Oh~ Oh~）
哪怕陨石爆炸，也停不下，
我全力，我全力，我全力，奔向你！</t>
        </is>
      </c>
      <c r="E37" t="inlineStr">
        <is>
          <t>作词 : 白举纲/Maggie
作曲 : 白举纲
编曲：郭峻江
吉他/贝斯：郭小峰
苏格兰哨笛：张圣群
录音：郑仕伟
混音：Rhys May
母带：Ted Jensen
和声：宁桓宇/于湉/饶威/殷之豪/张星/郭小峰/郭峻江/白举纲
弦乐：国际首席爱乐乐团
录音棚：录顶记
出品公司（OP/SP）：天娱传媒
出品人：申亚东
项目经理/经纪人：Maggie Xue
A&amp;R企划：王瑜 Fish Wong
宣传营销：晓春/李彤/张梦迪/陈李奕
封面/字体设计：毛婷
项目协力：苑亿</t>
        </is>
      </c>
      <c r="F37" t="inlineStr">
        <is>
          <t>白日坠落的星 沙漠绿洲的雨 赤道落雪的云 地心翻涌的晴 都是我在奔向你
没有人喜欢把自己的感受寄托于他人他事，为什么还要想太多，而不选择全力奔向那个你，全力去抱紧现在和喜欢的一切呢？他说，歌里的这个“你”，是内心真实的自己和所热爱的一切。编曲制作上是白举纲擅长而专注的多元融合型音乐，采用了包含民族乐器、电子音乐、管弦乐、摇滚乐等多种音乐风格和取向的制作元素。独一无二的故事情景型特殊结构编排，歌曲快接近尾声的地方，白举纲用了大片的留白纯音乐，配合大段的阿卡贝拉，而贡献这段特别的阿卡贝拉的人，都是现实生活中陪伴着、支持着白举纲奔跑的人们（宁桓宇、于湉、饶威、殷之豪、张星、郭小峰、郭峻江）。歌曲收尾直接而干脆，就让时间定在此刻，因为“奔向你”就是由每一个永不重复的瞬间组成的。专辑行进到这里，便是最高潮的热爱宣言。
其实这首歌相对于其他的歌来说完成的时间会比较晚一些，他是在今年超级月亮的那天晚上我写出来的，但当他一写出来，我心里就非常清楚和确定，这就是我当下想要传递给大家的最重要的能量！
在经历了前面一系列的“失控”和“思考”之后，还是不留余力的全力奔向你，这是我现在觉得非常有力量的一种状态！
有的时候我们会觉得累了，想停下来，那就躺一躺吧，看看星星做做梦，给下个路程补点养分，多好，给自己留点时间，奔向那个最想抓住的“你”！
这是一张不同于常规流行音乐结构和编排的专辑。每首歌都有独立的个性，但又彼此关联着，彼此影响着，最后都是为我们心中的美好而去，于是有了《我要全力奔向你》。
</t>
        </is>
      </c>
      <c r="G37" t="inlineStr">
        <is>
          <t>我要全力奔向你</t>
        </is>
      </c>
      <c r="H37" s="3" t="str">
        <f>=HYPERLINK("http://t.cn/A6NbeVjN", "http://t.cn/A6NbeVjN")</f>
        <v>http://t.cn/A6NbeVjN</v>
      </c>
      <c r="I37" s="3"/>
      <c r="J37" t="inlineStr">
        <is>
          <t>分享白举纲的单曲《我要全力奔向你》: https://163cn.tv/5AgSG0z (来自@网易云音乐)</t>
        </is>
      </c>
      <c r="K37"/>
      <c r="L37"/>
      <c r="M37" t="inlineStr">
        <is>
          <t>image.png</t>
        </is>
      </c>
      <c r="N37" t="inlineStr">
        <is>
          <t>原创</t>
        </is>
      </c>
      <c r="O37" s="3"/>
      <c r="P37"/>
      <c r="Q37" s="3"/>
      <c r="R37"/>
    </row>
    <row r="38" ht="25.5" customHeight="1">
      <c r="A38" t="inlineStr">
        <is>
          <t>鱼</t>
        </is>
      </c>
      <c r="B38" t="inlineStr">
        <is>
          <t>2022</t>
        </is>
      </c>
      <c r="C38" s="2">
        <v>44914</v>
      </c>
      <c r="D38" t="inlineStr">
        <is>
          <t>乌云蔽日，月色昏暗，
星星偷懒，猫儿乱窜；
空气湿热，闷闷不然，
找点乐子，做梦使然；
梦在海里，闷在海底，
一跃而起，抬眼便瞧见天地；
晃晃荡荡，无处可去，
闭眼所寻，便是这片自由地。
山前有云，色彩旖旎，
云上有海，无穷无尽；
海底有鱼，游在星系，
绵延山海，落在心底。
神神秘秘，是自由的鱼！
晚霞烂漫，云雨寒暄，
海面呢喃，鱼儿寻欢；
迷雾苍苍，人海茫茫，
望尽所向，梦在何方。
梦在海里，闷在海底，
一跃而起，抬眼便瞧见天地；
晃晃荡荡，屏住呼吸，
闭眼所寻，便是这片自由地。
山前有云，色彩旖旎，
云上有海，无穷无尽；
海底有鱼，游在星系，
绵延山海，落在心底；
神神秘秘，是自由的鱼！
（山前有云，色彩旖旎，）
（云上有海，无穷无尽；）
神神秘秘，
（海底有鱼，游在星系，）
（绵延山海，落在心底；）
是自由的鱼！</t>
        </is>
      </c>
      <c r="E38" t="inlineStr">
        <is>
          <t>作词 : 白举纲/Maggie
作曲 : 白举纲
编曲 : 郭峻江
录音：郑仕伟
和声编写：郑仕伟/白举纲
弦乐：星洲爱乐团
混音：Rhys May
母带：Ted Jensen
音乐制作：耳肆山白 Music Studio
制作人：白举纲/郭峻江
出品公司：天娱传媒
出品人：申亚东
项目经理/经纪人：Maggie Xue
A&amp;R企划：王瑜 Fish Wong
宣传营销：晓春/李彤/张梦迪/陈李奕
封面/字体设计：毛婷
项目协力：苑亿
特别鸣谢：李建国
童声合唱团：王煜翔/ 叶思妤/欧阳彦伊/张苡萱/张雅菲/王译萱/赵子萱/陈观云
童声声乐指导：林丹铄/陆殊茗
童声配唱监制：莫若铭/王钦正</t>
        </is>
      </c>
      <c r="F38" t="inlineStr">
        <is>
          <t>如果我可以徜徉云间海底，云游宇宙星系，那该是多么自由洒脱啊！以我声喻大鱼，以童声意小鱼，我希望这随性洒脱，自由徜徉的美好能世世延续，这心愿能随他们肆意生长！……
在这首歌做完的那一刻，我脑子里面有一个画面，就是我变成了一条鱼在空中飞在云里飘在海底自由地唱呀，那种自由洒脱的感觉，我觉得好美好啊！
我想要把这种美好的感受带给你们，希望你们也可以带着这种希望和祝福生活着。
生活总还是有美好的地方值得我们去追寻的！ 
海底有鱼 游在星系 神神秘秘 是自由的鱼
这一场从“失控”、“觉醒”到“接纳”再到“希望“的音乐探索，在整张专辑的最后一首歌里，揭晓了谜底。这一切关于自我的洗礼，最终让人追寻到的，是心灵的自由，到达人生的洒脱松弛状态，可以像鱼儿一般自由徜徉在这个世界的每一个角落，去冒险、去找寻、去感受！如果说白举纲唱的是像蓝鲸那般的大鱼，那么最后的童声合唱便是许给孩子和未来的美好祝愿和希望，“愿这些小鱼儿都能自由地飞翔，开心地成长，能看尽这世间的繁华和烟火！”</t>
        </is>
      </c>
      <c r="G38" t="inlineStr">
        <is>
          <t>我要全力奔向你</t>
        </is>
      </c>
      <c r="H38" s="3"/>
      <c r="I38" s="3"/>
      <c r="J38" t="inlineStr">
        <is>
          <t>分享白举纲的单曲《鱼》: https://163cn.tv/5AgBNaC (来自@网易云音乐)</t>
        </is>
      </c>
      <c r="K38"/>
      <c r="L38"/>
      <c r="M38" t="inlineStr">
        <is>
          <t>image.png</t>
        </is>
      </c>
      <c r="N38" t="inlineStr">
        <is>
          <t>原创</t>
        </is>
      </c>
      <c r="O38" s="3"/>
      <c r="P38"/>
      <c r="Q38" s="3"/>
      <c r="R38"/>
    </row>
    <row r="39" ht="25.5" customHeight="1">
      <c r="A39" t="inlineStr">
        <is>
          <t>Sanctuary</t>
        </is>
      </c>
      <c r="B39" t="inlineStr">
        <is>
          <t>2022</t>
        </is>
      </c>
      <c r="C39" s="2">
        <v>44914</v>
      </c>
      <c r="D39" t="inlineStr">
        <is>
          <t>（Ryo）
Innocence
It was gone a long time ago
Ambivalence
I have been fighting against
I'm tired and lost
And there is no one to trust
Inside my heart
It's digging deep (Digging deep)
I can't find the way out of this misery
One foot in hell now you can't deliver me
Don't wake me up from my sleep
Won't fade away this agony
（PAx）
I just want to break free
I bite my tongue
Until it's numb
I'm waiting for the night to come
I hold the knife with my knuckles white
To protect my sanctuary
I opened the sky and it swallowed me whole
I walk alone
But I'm not afraid
No more
（Together）
But all my
（Ryo）
innocence
It was gone a long time ago
Ambivalence:
I have been fighting against
I'm tired and lost
And there is no one to trust
Inside my heart
It's digging deep (Digging deep)
I can't find the way out of this misery
One foot in hell now you can't deliver me
Don't wake me up from my sleep
I'm a slave to agony
（PAx）
This crown of thorns
Wound like a snake
Forever it'll give me a peace of mind
（Together）
This crown of thorns
Wound like a snake
Forever it'll give me a peace of mind
（PAx）
This crown of thorns
Wound like a snake
Forever it'll give me a peace of mind
This crown of thorns
Wound like a snake
Forever it'll give me a peace of mind
This crown of thorns
Wound like a snake
Forever it'll give me a peace of mind
（Together）
This crown of thorns
Wound like a snake
Forever it'll give me a peace of mind</t>
        </is>
      </c>
      <c r="E39" t="inlineStr">
        <is>
          <t>作词 : Ryo Kinoshita
作曲 : Yudai Miyamoto
编曲：郭小峰、Crystal Lake
录音：郑仕伟
混音：Rhys May
母带：Ted Jensen
出品公司：天娱传媒
出品人：申亚东
项目经理/经纪人：Maggie Xue
A&amp;R企划：王瑜 Fish Wong
宣传营销：晓春/李彤/张梦迪/陈李奕
封面/字体设计：毛婷
项目协力：苑亿</t>
        </is>
      </c>
      <c r="F39" t="inlineStr">
        <is>
          <t>从去年CL的吉他手Y来到北京和我见面聊新歌合作的事情，到重制这首歌，我们一路畅聊，聊乐队，聊音乐，聊了好多好多，但最重要的是我们的合作第一步开始了，从这首歌开始！
这首歌现在的版本算是新派重型音乐，听起来就完事儿
This crown of thorns gives me a peace of mind
去年Crystal Lake便邀请白举纲一起重置这首重型歌曲，特别作为Bonus Track收录在新专辑里，不仅是给歌迷的私藏惊喜，也希望大家能感受到音乐人碰撞的火花和能量。</t>
        </is>
      </c>
      <c r="G39" t="inlineStr">
        <is>
          <t>我要全力奔向你</t>
        </is>
      </c>
      <c r="H39" s="3"/>
      <c r="I39" s="3"/>
      <c r="J39" t="inlineStr">
        <is>
          <t>分享白举纲/CRYSTAL LAKE的单曲《Sanctuary》: https://y.music.163.com/m/song?id=2007575582&amp;userid=1316898734&amp;dlt=0846 (来自@网易云音乐)</t>
        </is>
      </c>
      <c r="K39"/>
      <c r="L39"/>
      <c r="M39" t="inlineStr">
        <is>
          <t>image.png</t>
        </is>
      </c>
      <c r="N39" t="inlineStr">
        <is>
          <t>原创</t>
        </is>
      </c>
      <c r="O39" s="3"/>
      <c r="P39"/>
      <c r="Q39" s="3"/>
      <c r="R39"/>
    </row>
    <row r="40" ht="25.5" customHeight="1">
      <c r="A40" t="inlineStr">
        <is>
          <t>澜 (Outro)</t>
        </is>
      </c>
      <c r="B40" t="inlineStr">
        <is>
          <t>2022</t>
        </is>
      </c>
      <c r="C40" s="2">
        <v>44914</v>
      </c>
      <c r="D40" t="inlineStr">
        <is>
          <t>（纯音乐）</t>
        </is>
      </c>
      <c r="E40" t="inlineStr">
        <is>
          <t>作词 : 白举纲
作曲 : 白举纲</t>
        </is>
      </c>
      <c r="F40" t="inlineStr">
        <is>
          <t>为什么取名叫《澜》，是因为我不仅听到了鱼里泡泡声带给我五彩斑斓的色彩，还有因为鱼儿的自由徜徉看到的波澜壮阔，以声见形，以形见性！ 
这30秒是《鱼》的尾奏，白举纲用了一些比较缥缈的音色，用耳机听起来，就像升腾漂浮在天上的水泡泡。晶莹剔透，在阳光的照射下，呈现出迷人的斑斓，如果说《颤》是不适的感官状态，那《澜》形容的，则是舒适的终极精神状态。</t>
        </is>
      </c>
      <c r="G40" t="inlineStr">
        <is>
          <t>我要全力奔向你</t>
        </is>
      </c>
      <c r="H40" s="3"/>
      <c r="I40" s="3"/>
      <c r="J40" t="inlineStr">
        <is>
          <t>分享白举纲的单曲《澜 (Outro)》: https://163cn.tv/5Af3R7r (来自@网易云音乐)</t>
        </is>
      </c>
      <c r="K40"/>
      <c r="L40"/>
      <c r="M40" t="inlineStr">
        <is>
          <t>image.png</t>
        </is>
      </c>
      <c r="N40" t="inlineStr">
        <is>
          <t>原创</t>
        </is>
      </c>
      <c r="O40" s="3"/>
      <c r="P40"/>
      <c r="Q40" s="3"/>
      <c r="R40"/>
    </row>
    <row r="41" ht="25.5" customHeight="1">
      <c r="A41" t="inlineStr">
        <is>
          <t>滑行，起飞，降落</t>
        </is>
      </c>
      <c r="B41" t="inlineStr">
        <is>
          <t>2021</t>
        </is>
      </c>
      <c r="C41" s="2">
        <v>44536</v>
      </c>
      <c r="D41" t="inlineStr">
        <is>
          <t>收好扣好遥控器、显示器，
藏好背包里的秘密武器，
收好疲惫且固执的心，
关闭手机，开始飞行；
闭目养神看窗外风景，都行，
和隔壁大叔大妈聊天，也行，
遨游天际做个美梦游刃有余，
看书读报还是先放一边去；
乘客请你注意，
滑行、起飞、降落，脚下禁放物品；
收回头枕安全带要系紧，救生衣的位置麻烦您记清！
乘客请你注意，
滑行、起飞、降落，请你调整呼吸；
欢迎来到人间仙境，你细品，
惊喜、惊吓有几分你来决定！
颠簸期像年轻时的脾气；
不留余力来造自己的命；
平流层相对最稳定，
像极五六十后，眉眼间的平静！
落地前的头晕、眼花、腿抽筋，
这旅行是否如了你的预期；
到底哪里才会是目的地，
只能问你左边胸口的声音！
乘客请你注意，
滑行、起飞、降落，脚下禁放物品；
收回头枕安全带要系紧，救生衣的位置麻烦您记清！
乘客请你注意，
滑行、起飞、降落，请你调整呼吸；
欢迎来到人间仙境，你细品，
惊喜、惊吓有几分你来决定！
（乘客请你注意，）
（滑行、起飞、降落，脚下禁放物品；）
（乘客请你注意，）
（救生衣的位置麻烦您记清！）
（乘客请你注意，）
（滑行、起飞、降落，请你调整呼吸；）
（乘客请你注意，）
（惊喜、惊吓有几分你来决定！）</t>
        </is>
      </c>
      <c r="E41" t="inlineStr">
        <is>
          <t>作词 : 白举纲
作曲 : 白举纲
制作人：白举纲
编曲：张星
录音：郑仕伟
混音：RhysMay
母带：Ted Jensen
出品公司（OP/SP）：天娱传媒
出品人：申亚东
项目经理/经纪人：Maggie Xue
A&amp;R企划：王瑜Fish Wong
EP设计：LayerStudio
项目协力：苑亿
宣传营销：晓春/李彤/张梦迪/陈李奕
版权商务：杨荧焱</t>
        </is>
      </c>
      <c r="F41" t="inlineStr">
        <is>
          <t>“女士们、先生们：
飞机已经开始滑行，请您系好安全带，收起小桌板，调直椅背，打开遮光板，为了保证飞行安全，请将手机等便携式电子设备关机或调至飞行模式。“
EP《乘客，请注意》Dear Passengers
欢迎登机Welcome Aboard
白举纲PAx White 感谢您选乘放松航班Flight Relax 前往2022
预计空中飞行时间是 9分49秒 祝您旅途愉快
曾经，在空中飞行，是人类最大的梦想。而今，坐上飞机飞行，是现代人最自由最放松的时间，把手机直接关机，或者打开飞行模式，正当逃离，地面上那些烦扰纷争的人和事，进入与世隔绝的自我放松领空。所以，白举纲在飞机上的时间，也是绝佳的封闭创作时间之一。这张全部创作于空中的EP，也是繁忙的工作中，在空中尽享安静时所来的灵感。就是让人们获得同样的放松体验，在现实的缝隙里，用三首歌的时间，在这趟听觉航班上，得到一丝平静的喘息、拥有一刻忘我的释放。
SEAT 01A滑行、起飞、降落 Dear Passengers
这里是机长广播，放轻松，听首歌
白举纲在飞行途中，以飞机机舱内的所见所闻为题材，创作了一首“不用思考”的歌。他说这首歌是pop的基础，介于Future Funk 和 Future Pop之间，让人们可以随着音乐放松，甚至完全忘记自己在做什么、要做什么，让意识脱离现实，只是自然地跟着旋律节奏就摇摆起来，仿佛即将开启新旅程的雀跃心情。</t>
        </is>
      </c>
      <c r="G41" t="inlineStr">
        <is>
          <t>乘客，请注意</t>
        </is>
      </c>
      <c r="H41" s="3" t="str">
        <f>=HYPERLINK("http://t.cn/A6xOoTaN", "http://t.cn/A6xOoTaN")</f>
        <v>http://t.cn/A6xOoTaN</v>
      </c>
      <c r="I41" s="3"/>
      <c r="J41" t="inlineStr">
        <is>
          <t>分享白举纲的单曲《滑行，起飞，降落》: https://y.music.163.com/m/song?id=1900230579&amp;userid=1316898734&amp;dlt=0846 (来自@网易云音乐)</t>
        </is>
      </c>
      <c r="K41"/>
      <c r="L41"/>
      <c r="M41" t="inlineStr">
        <is>
          <t>image.png</t>
        </is>
      </c>
      <c r="N41" t="inlineStr">
        <is>
          <t>原创</t>
        </is>
      </c>
      <c r="O41" s="3"/>
      <c r="P41"/>
      <c r="Q41" s="3"/>
      <c r="R41"/>
    </row>
    <row r="42" ht="25.5" customHeight="1">
      <c r="A42" t="inlineStr">
        <is>
          <t>通利福尼亚</t>
        </is>
      </c>
      <c r="B42" t="inlineStr">
        <is>
          <t>2021</t>
        </is>
      </c>
      <c r="C42" s="2">
        <v>44536</v>
      </c>
      <c r="D42" t="inlineStr">
        <is>
          <t>这是梦想家聚集地，畅聊畅饮酣畅淋漓；
白日搬砖的小蚂蚁，肩负使命各自奋力；
里程越多，动力越少，理由够了什么都没必要；
年龄越大，胆子越小，只想关心哪顿饭吃不饱；
人口数量，不断增长；
脑部容量，急剧下降；
什么亚？
通利福尼亚，通利福尼亚，
通利福尼亚，通利福尼亚，
呼啸而过是汹涌人潮，显得自己格外渺小；
众生里没有谁最重要，费心的人不必讨好；
里程越多，动力越少，理由够了什么都没必要；
年龄越大，胆子越小，只想关心哪顿饭吃不饱；
什么亚？
通利福尼亚，通利福尼亚，
通利福尼亚，通利福尼亚，
这是秘密战场，有着琳琅满目的向往；
通利福尼亚，通利福尼亚，
人口数量，不断增长；
脑部容量，急剧下降；
人口数量，不断增长；
脑部容量，急剧下降；
人口数量，不断增长；
脑部容量，急剧下降；
什么亚？
通利福尼亚，通利福尼亚，
通利福尼亚，通利福尼亚，
这是秘密战场，有着琳琅满目的向往；
通利福尼亚，通利福尼亚。</t>
        </is>
      </c>
      <c r="E42" t="inlineStr">
        <is>
          <t>作词 : 白举纲
作曲 : 白举纲
制作人：白举纲
编曲：张星
录音：郑仕伟
混音：RhysMay
母带：Ted Jensen
出品公司（OP/SP）：天娱传媒
出品人：申亚东
项目经理/经纪人：Maggie Xue
A&amp;R企划：王瑜Fish Wong
EP设计：LayerStudio
项目协力：苑亿
宣传营销：晓春/李彤/张梦迪/陈李奕
版权商务：杨荧焱</t>
        </is>
      </c>
      <c r="F42" t="inlineStr">
        <is>
          <t>SEAT 02B通利福尼亚Tonglifornia
费心的人不必讨好，别焦虑，听首歌
白举纲刚到北京的时候，在通州住了三年，他发现不仅有很多音乐和艺术行业的人聚集在此，也是很多年轻人来北京发展的第一个落脚点。这些年轻人把这里自嘲又亲昵地叫做“通利福尼亚”。提到这个名字，大家内心都会泛起为梦想努力生存的共鸣。这首融合了流行摇滚和电子音乐的作品，是白举纲在飞机上听到了曾经标有“通州地址”的语音备忘录而写下来的。想起那些忙忙碌碌的年轻人和自己，产生的反思：“众生里没有谁最重要，费心的人不必讨好。”特别用放松的人声处理，希望对于当下的生活工作，可以别有太多焦虑，尝试让生活慢一点、Relax一点。</t>
        </is>
      </c>
      <c r="G42" t="inlineStr">
        <is>
          <t>乘客，请注意</t>
        </is>
      </c>
      <c r="H42" s="3"/>
      <c r="I42" s="3"/>
      <c r="J42" t="inlineStr">
        <is>
          <t>分享白举纲的单曲《通利福尼亚》: https://y.music.163.com/m/song?id=1900230581&amp;userid=1316898734&amp;dlt=0846 (来自@网易云音乐)</t>
        </is>
      </c>
      <c r="K42"/>
      <c r="L42"/>
      <c r="M42" t="inlineStr">
        <is>
          <t>image.png</t>
        </is>
      </c>
      <c r="N42" t="inlineStr">
        <is>
          <t>原创</t>
        </is>
      </c>
      <c r="O42" s="3"/>
      <c r="P42"/>
      <c r="Q42" s="3"/>
      <c r="R42"/>
    </row>
    <row r="43" ht="25.5" customHeight="1">
      <c r="A43" t="inlineStr">
        <is>
          <t>随她吧</t>
        </is>
      </c>
      <c r="B43" t="inlineStr">
        <is>
          <t>2021</t>
        </is>
      </c>
      <c r="C43" s="2">
        <v>44536</v>
      </c>
      <c r="D43" t="inlineStr">
        <is>
          <t>粉色天空的微亮洒下蓝色的泪滴，
翻涌滚烫的回忆打破属于夜的静，
她私语：
“纷繁世界里，留下过痕迹，模糊又清晰”
她私语：
“触碰到谷底，能拯救自己，那斑驳的心灵”
随她吧，写过的故事，随她去吧，当个傻瓜；
随她吧，放下续写的力气，大声说，再见啦，随她吧！
喜欢朦胧的夜晚因为不必看太清，
喜欢清澈的微风因为能吹走伤心，
她私语：
“纷繁世界里，留下过痕迹，模糊又清晰”
她私语：
“触碰到谷底，能拯救自己，那斑驳的心灵”
随她吧，写过的故事，随她去吧，当个傻瓜；
随她吧，放下续写的力气，大声说，再见啦，当个笑话！
随她吧，写过的故事，随她去吧，当个傻瓜；
随她吧，放下续写的力气，大声说，再见啦，随她吧！</t>
        </is>
      </c>
      <c r="E43" t="inlineStr">
        <is>
          <t>作词 : 白举纲
作曲 : 白举纲
制作人：白举纲
编曲：郭小峰
录音：郑仕伟
混音：RhysMay
母带：Ted Jensen
出品公司（OP/SP）：天娱传媒
出品人：申亚东
项目经理/经纪人：Maggie Xue
A&amp;R企划：王瑜Fish Wong
EP设计：LayerStudio
项目协力：苑亿
宣传营销：晓春/李彤/张梦迪/陈李奕
版权商务：杨荧焱</t>
        </is>
      </c>
      <c r="F43" t="inlineStr">
        <is>
          <t>SEAT 03C随她吧 As She Wishes
起飞就有了平静，放下吧，听首歌
这首在飞往未知目的地的航班上，写下的英式复古风，是一首“爱若不得或不搭，便选择放下”的情歌。歌曲的速度设定在90，也是正常心跳的节奏，这种同频可以让人从生理和心理上，都达到一种平静的状态。白举纲也是希望通过这首歌表达，虽然感情和生活都可能有各种无能为力的不顺利，但也请勇敢“随她吧”，享受片刻独享的快乐！
“女士们、先生们：
我们的飞机已经开始下降。请您将安全带系好，调直座椅靠背、收起小桌板及脚踏板，遮光板保持在打开的状态。洗手间已经停止使用，请关闭手提电脑及其它电子设备。稍后，我们将调暗客舱灯光。也期待明年的旅途再次相遇，谢谢各位！”</t>
        </is>
      </c>
      <c r="G43" t="inlineStr">
        <is>
          <t>乘客，请注意</t>
        </is>
      </c>
      <c r="H43" s="3" t="str">
        <f>=HYPERLINK("http://t.cn/A6xga8fI", "http://t.cn/A6xga8fI")</f>
        <v>http://t.cn/A6xga8fI</v>
      </c>
      <c r="I43" s="3"/>
      <c r="J43" t="inlineStr">
        <is>
          <t>分享白举纲的单曲《随她吧》: https://y.music.163.com/m/song?id=1900236611&amp;userid=1316898734&amp;dlt=0846 (来自@网易云音乐)</t>
        </is>
      </c>
      <c r="K43"/>
      <c r="L43"/>
      <c r="M43" t="inlineStr">
        <is>
          <t>image.png</t>
        </is>
      </c>
      <c r="N43" t="inlineStr">
        <is>
          <t>原创</t>
        </is>
      </c>
      <c r="O43" s="3"/>
      <c r="P43"/>
      <c r="Q43" s="3"/>
      <c r="R43"/>
    </row>
    <row r="44" ht="25.5" customHeight="1">
      <c r="A44" t="inlineStr">
        <is>
          <t>来自冰岛的信号</t>
        </is>
      </c>
      <c r="B44" t="inlineStr">
        <is>
          <t>2019</t>
        </is>
      </c>
      <c r="C44" s="2">
        <v>43637</v>
      </c>
      <c r="D44" t="inlineStr">
        <is>
          <t>她是最年轻的陆地，
孤独带她离开了海底。
她的肌肤画作山脊，
涂料有些骨感和刺鼻。
荒蛮大地种下了些许热情，
等待发芽温暖你。
住在石头的精灵偶尔出行，
拾起你我的记忆。
她在雪里奔跑，风里寻找；
一个熟悉深情的拥抱，
一个久违的微笑。
他在世界尽头，发出信号；
等待与你相遇那一秒，
昼夜不会再颠倒。
冰冷表面藏着秘密，
是一颗无法融化的心。
没有多少人能靠近，
早已习惯黑夜当伴侣。
荒蛮大地种下了些许热情，
等待发芽温暖你！
住在石头的精灵偶尔出行，
拾起你我的记忆！
她在雪里奔跑，风里寻找！
一个熟悉深情的拥抱，
一个久违的微笑！
他在世界尽头，发出信号！
等待与你相遇那一秒，
昼夜不会再颠倒！
她在雪里奔跑，风里寻找，
一个熟悉深情的拥抱，
一个久违的微笑。
他在世界尽头，发出信号…</t>
        </is>
      </c>
      <c r="E44" t="inlineStr">
        <is>
          <t>作词 : 白举纲
作曲 : 白举纲
编曲：白举纲
录音编辑：郑仕伟
混音：RhysMay
母带：Ted Jensen
制作人：白举纲
SP：天娱传媒
出品人：申亚东
监制/经纪人：Maggie Xue
A&amp;R企划：王瑜Fish Wong
封面设计：毛婷
宣传：李彤</t>
        </is>
      </c>
      <c r="F44" t="inlineStr">
        <is>
          <t>冰岛可能在众人看来是一个极其孤独的地方，冰冷而空旷，遥远而疏离，但白举纲想告诉大家，“她其实是一个温暖的姑娘”。创作旋律的时候，内心有一种温暖的孤独感。在那天的舞台上，白举纲全程闭上双眼演唱完的这首歌，展现了白举纲创作上更多的多面性和可能性。而录音室版本则通过对合成器和吉他的一些音色的调整，把歌曲本身传达的距离感拉得更长了一些。</t>
        </is>
      </c>
      <c r="G44" t="inlineStr">
        <is>
          <t>你是否还会按下播放键</t>
        </is>
      </c>
      <c r="H44" s="3"/>
      <c r="I44" s="3"/>
      <c r="J44" t="inlineStr">
        <is>
          <t>分享白举纲的单曲《来自冰岛的信号》: https://y.music.163.com/m/song?id=1961287841&amp;userid=1316898734&amp;dlt=0846 (来自@网易云音乐)</t>
        </is>
      </c>
      <c r="K44"/>
      <c r="L44"/>
      <c r="M44" t="inlineStr">
        <is>
          <t>image.png,image.png</t>
        </is>
      </c>
      <c r="N44" t="inlineStr">
        <is>
          <t>原创</t>
        </is>
      </c>
      <c r="O44" s="3"/>
      <c r="P44"/>
      <c r="Q44" s="3"/>
      <c r="R44"/>
    </row>
    <row r="45" ht="25.5" customHeight="1">
      <c r="A45" t="inlineStr">
        <is>
          <t>阿尔茨海默的爱</t>
        </is>
      </c>
      <c r="B45" t="inlineStr">
        <is>
          <t>2019</t>
        </is>
      </c>
      <c r="C45" s="2">
        <v>43616</v>
      </c>
      <c r="D45" t="inlineStr">
        <is>
          <t>嗒嘀嗒，
时间很忙，
我们一起老了，
却没能一起忘。
嗒嘀嗒，
你慢些忘，
别忘了我的模样，
忘了吻我脸庞。
你总在的地方，
还是初见的河旁，
坐在大树下乘凉。
你还记得吗？
那些情话，
我怕过太久，
你记不起啊。
反正多的是话讲，
哪怕下秒就忘，
明天我会继续啊，
只要还能对你讲，
我只是习惯一直在你身旁。
嘀嗒嘀嗒，
我，又来看你啦，
“今天天气怎样，
气色还挺好啊。”
你突然讲：
“那个故事里年轻的模样，
明明就是我们俩，
我怎么会忘！”
你还记得吗？
那些情话，
我怕过太久，
你记不清啊！
我有太多话要讲，
也平凡的像样，
就算终究被遗忘，
那也比不上，
我全心全意爱一个人！
你啊～
嗒嘀嗒！</t>
        </is>
      </c>
      <c r="E45" t="inlineStr">
        <is>
          <t>作词 : 白举纲
作曲 : 白举纲
编曲：郭小峰
录音编辑：郑仕伟
混音：RhysMay
母带：Ted Jensen
制作人：白举纲
SP：天娱传媒
出品人：申亚东
监制/经纪人：Maggie Xue
A&amp;R企划：王瑜Fish Wong
封面设计：毛婷
宣传：李彤</t>
        </is>
      </c>
      <c r="F45" t="inlineStr">
        <is>
          <t>“无论你最终是否会被世界遗忘，你全心全意爱一个人就已经足够伟大了。”这首讲述阿尔兹海默症的情歌，录音室版本特别加入了弦乐，从平铺直叙，到副歌的爆发，表达出一种横冲直撞的情感，也是当时在节目上反响非常不错的一首作品。
</t>
        </is>
      </c>
      <c r="G45" t="inlineStr">
        <is>
          <t>你是否还会按下播放键</t>
        </is>
      </c>
      <c r="H45" s="3"/>
      <c r="I45" s="3"/>
      <c r="J45" t="inlineStr">
        <is>
          <t>分享白举纲的单曲《阿尔茨海默的爱》: https://y.music.163.com/m/song?id=1961282515&amp;userid=1316898734&amp;dlt=0846 (来自@网易云音乐)</t>
        </is>
      </c>
      <c r="K45"/>
      <c r="L45"/>
      <c r="M45" t="inlineStr">
        <is>
          <t>image.png,image.png</t>
        </is>
      </c>
      <c r="N45" t="inlineStr">
        <is>
          <t>原创</t>
        </is>
      </c>
      <c r="O45" s="3"/>
      <c r="P45"/>
      <c r="Q45" s="3"/>
      <c r="R45"/>
    </row>
    <row r="46" ht="25.5" customHeight="1">
      <c r="A46" t="inlineStr">
        <is>
          <t>我们一定会再见</t>
        </is>
      </c>
      <c r="B46" t="inlineStr">
        <is>
          <t>2019</t>
        </is>
      </c>
      <c r="C46" s="2">
        <v>43623</v>
      </c>
      <c r="D46" t="inlineStr">
        <is>
          <t>嘿，多久没见？
你没怎么变，
但皱纹多了点。
你说
“还有一点，
坐办公桌前，
肚子慢慢变圆。”
你在想念着谁，
却常说无所谓，
一个人忙，
一个人累，
一个人体会。
还有漫长的夜，
得一个人学会，
在喧嚣的打扰中一个人入睡。
每天都重演，
不想这样再多过一天。
我们一定会再见，
还是热血的少年，
像儿时，
一起赤着脚顶着太阳奔跑肩并肩！
就算跌倒不停歇，
我们会在你身边，
黑夜里，
整片星空下都是我们逐梦的乐园！
碰杯， Say Oh Yeah～！！！
嘿，荆棘靠边，
山多高多险，
在这儿都不起眼；
你说
“再快一点，
等你到终点，
胡子都长满脸。”
无聊的大人啊，
那不是我们啊，
不必埋头，
顺应社会，
顺应人流吧。
夏天的大树下，
永远是我们啊，
萤火扑朔，
数着星星，
晒着月光。
我们一定会再见，
还是热血的少年，
像儿时，
一起赤着脚顶着太阳奔跑肩并肩！
就算跌倒不停歇，
我们会在你身边，
黑夜里，
整片星空下都是我们逐梦的乐园！
碰杯， Say Oh Yeah～！！！
碰杯， Say Oh Yeah～！！！
碰杯， Say Oh Yeah～！！！
碰杯， Say Oh Yeah～！！！
我们一定会再见，
还是热血的少年，
像儿时一样～
我们一定会再见，
还是热血的少年，
像儿时，
一起赤着脚顶着太阳奔跑肩并肩！
就算跌倒不停歇，
我们会在你身边，
黑夜里，
整片星空下都是我们逐梦的乐园！
碰杯， Say Oh Yeah～！！！</t>
        </is>
      </c>
      <c r="E46" t="inlineStr">
        <is>
          <t>作词 : 白举纲
作曲 : 白举纲
编曲：郭小峰、郑仕伟
录音编辑：郑仕伟
混音：RhysMay
母带：Ted Jensen
制作人：白举纲
SP：天娱传媒
出品人：申亚东
监制/经纪人：Maggie Xue
A&amp;R企划：王瑜Fish Wong
封面设计：毛婷
宣传：李彤</t>
        </is>
      </c>
      <c r="F46" t="inlineStr">
        <is>
          <t>在这首以友谊为主题的创作里，白举纲更多地想把不同摇滚类型的音乐都展现出来，用他的话来说，有一种“细腻的中二热血”。 录音室版本在弦乐上有所改动之外，鼓和吉他的音色都做了重新的匹配。曾经一起追梦成长的朋友们，现在可能都有着不同的境遇，但不管他们后来去做了什么工作，只要还记得当年的初心，我们一定会再见，碰杯，Say Oh Yeah。因为一起经历的那些过程，才是我们友情岁月的见证。
</t>
        </is>
      </c>
      <c r="G46" t="inlineStr">
        <is>
          <t>你是否还会按下播放键</t>
        </is>
      </c>
      <c r="H46" s="3"/>
      <c r="I46" s="3"/>
      <c r="J46" t="inlineStr">
        <is>
          <t>分享白举纲的单曲《我们一定会再见》: https://y.music.163.com/m/song?id=1961287899&amp;userid=1316898734&amp;dlt=0846 (来自@网易云音乐)</t>
        </is>
      </c>
      <c r="K46"/>
      <c r="L46"/>
      <c r="M46" t="inlineStr">
        <is>
          <t>image.png,image.png</t>
        </is>
      </c>
      <c r="N46" t="inlineStr">
        <is>
          <t>原创</t>
        </is>
      </c>
      <c r="O46" s="3"/>
      <c r="P46"/>
      <c r="Q46" s="3"/>
      <c r="R46"/>
    </row>
    <row r="47" ht="25.5" customHeight="1">
      <c r="A47" t="inlineStr">
        <is>
          <t>我们不需要证明什么</t>
        </is>
      </c>
      <c r="B47" t="inlineStr">
        <is>
          <t>2019</t>
        </is>
      </c>
      <c r="C47" s="2">
        <v>43630</v>
      </c>
      <c r="D47" t="inlineStr">
        <is>
          <t>周围有某些眼睛，带着刺和颜色，
等待最薄弱那刻，用唇舌将你击破；
你的每张考卷，总有人点点咄咄，
证明他们还活着，在别人面前指点显得比较渊博；
懂我的人不必多，
需要证明什么，
不必对别人说；
想要解释又太多，
该证明什么，
不必争对错。
听别人讲的故事、经历都还挺多，
你也就认为这样生活也不错；
不过像换了坑的青蛙，
一样在井底下，耗着吧；
时间也不会停留，
不会替你说话。
懂我的人不必多，
需要证明什么，
不必对别人说；
想要解释又太多，
该证明什么，
不必争对错。
懂我的人不必多，
需要证明什么，
不必对别人说；
懂我的人不必多，
需要证明什么，
不必对别人说；
想要解释又太多，
该证明什么，
不必争对错。</t>
        </is>
      </c>
      <c r="E47" t="inlineStr">
        <is>
          <t>作词 : 白举纲
作曲 : 白举纲
编曲：郭小峰，郭峻江，郑仕伟
录音编辑：郑仕伟
混音：RhysMay
母带：Ted Jensen
制作人：白举纲
SP：天娱传媒
出品人：申亚东
监制/经纪人：Maggie Xue
A&amp;R企划：王瑜Fish Wong
封面设计：毛婷
宣传：李彤</t>
        </is>
      </c>
      <c r="F47" t="inlineStr">
        <is>
          <t>当时白举纲在节目的过程里，跟金志文聊了很多，感受到很多同为唱作人的心路历程。白举纲用这首歌来总结：“不用证明给全世界看，懂我的人不必太多。”这首歌融合了电子、Trap和重型音乐，也是白举纲在那一年给自己明确的创作风格核心：融合摇滚。录音室版本特别在Breakdown部分做了翻新，通过简单的旋律，用他最喜欢的风格表达。</t>
        </is>
      </c>
      <c r="G47" t="inlineStr">
        <is>
          <t>你是否还会按下播放键</t>
        </is>
      </c>
      <c r="H47" s="3"/>
      <c r="I47" s="3"/>
      <c r="J47" t="inlineStr">
        <is>
          <t>分享白举纲的单曲《我们不需要证明什么》: https://y.music.163.com/m/song?id=1961287904&amp;userid=1316898734&amp;dlt=0846 (来自@网易云音乐)</t>
        </is>
      </c>
      <c r="K47"/>
      <c r="L47"/>
      <c r="M47" t="inlineStr">
        <is>
          <t>image.png,image.png</t>
        </is>
      </c>
      <c r="N47" t="inlineStr">
        <is>
          <t>原创</t>
        </is>
      </c>
      <c r="O47" s="3"/>
      <c r="P47"/>
      <c r="Q47" s="3"/>
      <c r="R47"/>
    </row>
    <row r="48" ht="25.5" customHeight="1">
      <c r="A48" t="inlineStr">
        <is>
          <t>蠢梦</t>
        </is>
      </c>
      <c r="B48" t="inlineStr">
        <is>
          <t>2019</t>
        </is>
      </c>
      <c r="C48" s="2">
        <v>43609</v>
      </c>
      <c r="D48" t="inlineStr">
        <is>
          <t>跑了多久还没到，那个地方；
那个发光的彼岸，和梦一样。
偶尔失望，偶尔彷徨，
偶尔有人会对你讲：
“你就这样，受再多伤也没两样。”
你累了吧，笑完就放下吧，
毕竟前方，狂风巨浪！
我绝不退让，
我绝不退让！
我就这样，
傻得像样，
不用你的同情和悲伤；
梦就这样，
蠢得像样，
就算跪地我绝不退让！
绿灯面前，抽着烟，黑着脸；
我们的梦，都堵在早晨九点。
拉下手刹，看着朝霞，
再细数着你的伤疤；
“它会痛吧！它会结痂！别忘了啊。”
你累了吧，哭完就放下吧？
好像前方，狂风巨浪。
我就这样，
傻得像样，
不用你的同情和悲伤；
梦就这样，
蠢得像样，
就算跪地我绝不退让！退让！
我绝不退让！
我就这样，
傻得像样，
不用你的同情和悲伤；
梦就这样，
蠢得像样，
就算跪地我绝不退让！
我绝不退让！
我绝不退让！</t>
        </is>
      </c>
      <c r="E48" t="inlineStr">
        <is>
          <t>作词 : 白举纲
作曲 : 白举纲
编曲：郭小峰/张星/张宇煊/殷之豪
录音编辑：郑仕伟
混音：RhysMay
母带：Ted Jensen
制作人：白举纲
SP：天娱传媒
出品人：申亚东
监制/经纪人：Maggie Xue
A&amp;R企划：王瑜Fish Wong
封面设计：毛婷
宣传：李彤</t>
        </is>
      </c>
      <c r="F48" t="inlineStr">
        <is>
          <t>这首歌是白举纲写给和自己一样，跟自己的梦比赛的人。白举纲把Trap 和摇滚乐结合，海泉形容这首歌是“最白举纲的白举纲”。无论周围的人怎么讥讽嘲笑和劝退，在面临外界所带来的烦恼和困扰的时候，希望我们都能用这首歌告诉自己，也告诉他们：“我就这样，傻也要傻得像样。”这次录音室重制版是在多次演出之后，探索到的让听感最舒服的版本。</t>
        </is>
      </c>
      <c r="G48" t="inlineStr">
        <is>
          <t>你是否还会按下播放键</t>
        </is>
      </c>
      <c r="H48" s="3"/>
      <c r="I48" s="3"/>
      <c r="J48" t="inlineStr">
        <is>
          <t>分享白举纲的单曲《蠢梦》: https://y.music.163.com/m/song?id=1961287840&amp;userid=1316898734&amp;dlt=0846 (来自@网易云音乐)</t>
        </is>
      </c>
      <c r="K48"/>
      <c r="L48"/>
      <c r="M48" t="inlineStr">
        <is>
          <t>image.png,image.png</t>
        </is>
      </c>
      <c r="N48" t="inlineStr">
        <is>
          <t>原创</t>
        </is>
      </c>
      <c r="O48" s="3"/>
      <c r="P48"/>
      <c r="Q48" s="3"/>
      <c r="R48"/>
    </row>
    <row r="49" ht="25.5" customHeight="1">
      <c r="A49" t="inlineStr">
        <is>
          <t>写给一首歌的歌</t>
        </is>
      </c>
      <c r="B49" t="inlineStr">
        <is>
          <t>2019</t>
        </is>
      </c>
      <c r="C49" s="2">
        <v>43644</v>
      </c>
      <c r="D49" t="inlineStr">
        <is>
          <t>我出生没标日期和价格，
也不知保鲜期多长多久。
并没什么形状颜色，
比不上鲜花色彩繁多。
人们总爱用心情记录我，
偶尔也会有悲伤或快乐。
你的心跳我曾听过，
你的感受我能触摸。
或许你也和我一样，
只在按下开始播放，
才会流淌，
也才会像活着一样。
我们终将到哪个地方，
一生不过几分钟长。
我也趁着时间发呆，偷偷再播放。
这将是我的再见，
也是我的遗愿，
如果还有时间，
哪怕再一遍。
不畏时光短暂，
也愿倾尽一切，
把故事连成线！
编织成语言，
放映着从前，
捕捉着瞬间，
确保它新鲜，
几分钟的一生足够珍贵足够甜！
刚才那段我忘了有话讲，
时间长或短与我无关，
我的尾奏怎么办？
嗯…
这将是我的再见，
也是我的遗愿，
如果还有时间，
哪怕再一遍。
不畏时光短暂，
也愿倾尽一切，
把故事连成线！
编织成语言，
放映着从前，
捕捉着瞬间，确保它新鲜，
几分钟的一生足够珍贵足够甜！
你是否还会按下播放键？</t>
        </is>
      </c>
      <c r="E49" t="inlineStr">
        <is>
          <t>作词 : 白举纲
作曲 : 白举纲
编曲：郭小峰
录音编辑：郑仕伟
混音：RhysMay
母带：Ted Jensen
制作人：白举纲
SP：天娱传媒
出品人：申亚东
监制/经纪人：Maggie Xue
A&amp;R企划：王瑜Fish Wong
封面设计：毛婷
宣传：李彤</t>
        </is>
      </c>
      <c r="F49" t="inlineStr">
        <is>
          <t>白举纲把这首歌写给一首歌，而不是一般意义上的某个人，他把“一首歌”当作自己来创作，在这短短几分钟里头，如果能够给听者带来温暖也好，鼓舞也好，反思也好，都是它的存在的意义。我们总在用歌曲表达我们的感受，组织我们的情感。歌也在反映着我们。白举纲从没明确过，迄今为止，自己最满意的一首歌是哪首，但这首，可以说是他最爱的一首歌“我觉得和他很近，他可能就是我吧。”他说，“一首歌如果能串联记忆，能够把时间连接起来，不管播放多长时间，只要能够给人带来足够珍贵的一分一秒，对他和他的作者来说在这有限的时间里已经足够了。”
</t>
        </is>
      </c>
      <c r="G49" t="inlineStr">
        <is>
          <t>你是否还会按下播放键</t>
        </is>
      </c>
      <c r="H49" s="3"/>
      <c r="I49" s="3"/>
      <c r="J49" t="inlineStr">
        <is>
          <t>分享白举纲的单曲《写给一首歌的歌》: https://y.music.163.com/m/song?id=1961287915&amp;userid=1316898734&amp;dlt=0846 (来自@网易云音乐)</t>
        </is>
      </c>
      <c r="K49"/>
      <c r="L49"/>
      <c r="M49" t="inlineStr">
        <is>
          <t>image.png,image.png</t>
        </is>
      </c>
      <c r="N49" t="inlineStr">
        <is>
          <t>原创</t>
        </is>
      </c>
      <c r="O49" s="3"/>
      <c r="P49"/>
      <c r="Q49" s="3"/>
      <c r="R49"/>
    </row>
    <row r="50" ht="25.5" customHeight="1">
      <c r="A50" t="inlineStr">
        <is>
          <t>I'm Here,Born For Gaming!</t>
        </is>
      </c>
      <c r="B50" t="inlineStr">
        <is>
          <t>2019</t>
        </is>
      </c>
      <c r="C50" s="2">
        <v>43597</v>
      </c>
      <c r="D50" t="inlineStr">
        <is>
          <t>I am here
When the rain is drowning all that we've made
There's still a flame
And the hope is not going to fade
I begin to see and feel my true form
I start to see and feel the fire grow
Dawn is breaking the dark of the night
I'm about to set on fire
I am here flying 'gainst roar of the storm
Let 'em see the skies all alight with my flame
I can feel the power that's inside of me
I know that's where I'm meant to be
I am here for you until the end of the world
I'm here ashes in the flame of the war
I'm here when days and nights no longer warm
I am here here to light up your night
With all my passion and pride
Even when darkness erodes the sky
Making people wanna hide
But my faith will never die
My faith will never die
I am here flying 'gainst roar of the storm
Let 'em see the skies all alight with my flame
I can feel the power that's inside of me
I know that's where I'm meant to be
I am here for you until the end of the world
The world is drowning out
Drowning out
The cold rain is crushing down
Crushing down
My hope is falling out
Falling out
But we will never kneel down
Kneel down
I am here flying 'gainst roar of the storm
Let 'em see the skies all alight with my flame
I can feel the power that's inside of me
I know that's where I'm meant to be
IMC born for gaming till the end of the world
End of the world
End of the world
I am here</t>
        </is>
      </c>
      <c r="E50" t="inlineStr">
        <is>
          <t>词：Innokids异开/Maggie Snow
曲：白举纲
编曲：白举纲
制作人：白举纲
吉他：郑仕伟
贝司：郑仕伟
钢琴/动机创作：郭凌峰
鼓：Matthew Marquez/殷之豪
Programing：白举纲
弦乐编写：靳锐
弦乐监制：李朋
弦乐：国际首席爱乐乐团
混音：Erik Ron
母带：Ted Jensen</t>
        </is>
      </c>
      <c r="F50" t="inlineStr">
        <is>
          <t>由白举纲与国际团队共同为英特尔大师挑战赛创作的主题曲。融入游戏洞察的歌词与玩家产生强烈情感共鸣，充满爆发力，给玩家登上专业竞技场以动力和信心。整首歌曲将玩家的热情火种点燃，让他们热爱之火随歌而起尽情燃烧。
另外，张力十足的动画搭配赛博朋克风MV也给玩家们带来了意想不到的惊喜。</t>
        </is>
      </c>
      <c r="G50" t="inlineStr">
        <is>
          <t>单曲</t>
        </is>
      </c>
      <c r="H50" s="3" t="str">
        <f>=HYPERLINK("https://music.163.com/mv?id=10868008&amp;uct2=U2FsdGVkX18wiCTiME/yzKuA1RkbB6+EjUUKAQ0LjBc=", "https://music.163.com/mv?id=10868008&amp;uct2=U2FsdGVkX18wiCTiME/yzKuA1RkbB6+EjUUKAQ0LjBc=")</f>
        <v>https://music.163.com/mv?id=10868008&amp;uct2=U2FsdGVkX18wiCTiME/yzKuA1RkbB6+EjUUKAQ0LjBc=</v>
      </c>
      <c r="I50" s="3"/>
      <c r="J50" t="inlineStr">
        <is>
          <t>白举纲《I'm Here,Born For Gaming!》https://c6.y.qq.com/base/fcgi-bin/u?__=ct0On0YOMKrt @QQ音乐</t>
        </is>
      </c>
      <c r="K50"/>
      <c r="L50"/>
      <c r="M50" t="inlineStr">
        <is>
          <t>image.png</t>
        </is>
      </c>
      <c r="N50" t="inlineStr">
        <is>
          <t>作曲（合作创作）</t>
        </is>
      </c>
      <c r="O50" s="3"/>
      <c r="P50"/>
      <c r="Q50" s="3"/>
      <c r="R50"/>
    </row>
    <row r="51" ht="25.5" customHeight="1">
      <c r="A51" t="inlineStr">
        <is>
          <t>战士</t>
        </is>
      </c>
      <c r="B51" t="inlineStr">
        <is>
          <t>2019</t>
        </is>
      </c>
      <c r="C51" s="2">
        <v>43817</v>
      </c>
      <c r="D51" t="inlineStr">
        <is>
          <t>号角响起，新篇章来临，铸铁铠甲属于你，荣耀之光与你同行；
战鼓轰鸣，摒住了呼吸，夜幕遮住你的心，笼罩浴血沙场之后的天际；
浇不灭的火焰，燃烧因你更炙裂；
吞没掉的胆怯，铭记我此生不灭；
遍体鳞伤是我的碎片，撕心裂肺有我的哽咽；
冰雨将这世界都浇灭，卸下心中的狂野，洗净沾满欲望的双手和边界；
浇不灭的火焰，燃烧因你更炙裂；
吞没掉的胆怯，铭记我此生不灭；
遍体鳞伤是我的碎片，撕心裂肺有我的哽咽：
燃尽火花，烧尽痴狂，万丈光芒等待释放；
丰碑终将记载着一切。</t>
        </is>
      </c>
      <c r="E51" t="inlineStr">
        <is>
          <t>作词 : 白举纲
作曲 : 白举纲
编曲：郭峻江、张星、白举纲、张宇煊、殷之豪
贝斯：张星
吉他：张宇煊、郑仕伟
鼓：郭小峰，殷之豪
混音：Tyler Smith
母带：Ted Jensen
封面设计：邹四维</t>
        </is>
      </c>
      <c r="F51"/>
      <c r="G51" t="inlineStr">
        <is>
          <t>单曲</t>
        </is>
      </c>
      <c r="H51" s="3"/>
      <c r="I51" s="3"/>
      <c r="J51" t="inlineStr">
        <is>
          <t>分享白举纲的单曲《战士》: https://y.music.163.com/m/song?id=1410213670&amp;userid=1316898734&amp;dlt=0846 (来自@网易云音乐)</t>
        </is>
      </c>
      <c r="K51"/>
      <c r="L51"/>
      <c r="M51" t="inlineStr">
        <is>
          <t>image.png</t>
        </is>
      </c>
      <c r="N51" t="inlineStr">
        <is>
          <t>原创</t>
        </is>
      </c>
      <c r="O51" s="3"/>
      <c r="P51"/>
      <c r="Q51" s="3"/>
      <c r="R51"/>
    </row>
    <row r="52" ht="25.5" customHeight="1">
      <c r="A52" t="inlineStr">
        <is>
          <t>遗落梦境 (Feat Mateus Asato)</t>
        </is>
      </c>
      <c r="B52" t="inlineStr">
        <is>
          <t>2020</t>
        </is>
      </c>
      <c r="C52" s="2">
        <v>44120</v>
      </c>
      <c r="D52" t="inlineStr">
        <is>
          <t>海浪被风切成片，
藏在天空的表面，
看哪个角度，时针来回在摆渡；
思念纠缠绕成圈，
记忆升温烧成烟，
在摄氏几度，心由炙热到寒处；
远走的路途，
多少眷念，伴着尘土；
理想的面目，
半身霓虹，半身干枯 ；
落尽是归处，
留下温柔，埋葬孤独，
低吟着谢幕，
别结束，没结束；
梦再荒唐，梦再虚妄，
现实世界不都一样，
虚幻的假象，扎进你胸膛；
完整意义，无数个你，
被映射在破碎玻璃，
哪一个是你，紧握在手心；
远走的路途，
多少眷念，伴着尘土；
理想的面目，
半身霓虹，半身干枯 ；
落尽是归处，
留下温柔，埋葬孤独，
低吟着谢幕，
别结束，没结束；
梦再荒唐，梦再虚妄，
现实世界不都一样，
虚幻的假象，扎进你胸膛；
完整意义，无数个你，
被映射在破碎玻璃，
哪一个是你，紧握在手心；
把清醒遗落到梦乡。</t>
        </is>
      </c>
      <c r="E52" t="inlineStr">
        <is>
          <t>作词 : 白举纲/白红
作曲 : 白举纲
制作人 : 白举纲
编曲：白举纲
吉他 : 白举纲
贝斯 : 白举纲
鼓 : 白举纲
吉他Solo : Mateus Asato
录音 : 郑仕伟
混音 : Rhys May
母带 : Ted Jensen
出品人 : 申亚东
监制 : Maggie Xue
经纪人 : Maggie Xue
企划 : 王瑜 Fish Wong
出品公司 : 天娱传媒</t>
        </is>
      </c>
      <c r="F52" t="inlineStr">
        <is>
          <t>第一维《遗落梦境》是预告信，也是邀请函，是发生在梦和现实交界处的挣扎，是他曾经历过迷茫时期内的状态，那时候的他仿佛就困在梦想和现实的夹缝中。
第一维Dimension I《遗落梦境》 光天化日 原地作梦
《遗落梦境》这首歌是这场梦的起点，是梦的入口，虚妄和现实的交界处。困在梦想和现实的夹缝中，那是他曾经历过的《遗落梦境》期。在这梦的临界，半梦半醒之间的疏离感，时而虚无缥缈，时而热烈喷张。在梦境里的自己是半身霓虹，在现实里的理想是半身干枯，当现实来干扰梦境，内心的声音却呼喊着不要结束、不要醒来。梦境可以让自己摆脱现实的压迫，看到无数种可能性，在这千万个不同的自己里，选择最想要成为的自己，哪怕会受伤，也要紧握在手心里。这首歌就是梦和现实的交锋与挣扎，最终“把清醒遗落到梦乡”是白举纲的选择，也是《白日梦境》巡演的预告信和邀请函。
白举纲包揽整首歌曲制作人，编曲，吉他，贝斯，鼓。唯独副歌结束后那段猛烈的吉他，特别邀请了Guitar World 杂志认证的世界吉他技术top3的Mateus Asato，这位曾和John Mayer、Jessie J等歌手合作过的吉他手贡献了一段异常精彩的吉他solo。混音和mastering的部分，邀请了已经有一定合作默契的英国混音师Rhys May，和著名的母带工程师Ted Jensen。《遗落梦境》是方方面面都费劲了音乐人心思的一首十分完整的作品。</t>
        </is>
      </c>
      <c r="G52" t="inlineStr">
        <is>
          <t>白日梦境</t>
        </is>
      </c>
      <c r="H52" s="3"/>
      <c r="I52" s="3"/>
      <c r="J52" t="inlineStr">
        <is>
          <t>分享白举纲/Mateus Asato的单曲《遗落梦境 (Feat Mateus Asato)》: https://y.music.163.com/m/song?id=1487270601&amp;userid=1316898734&amp;dlt=0846 (来自@网易云音乐)</t>
        </is>
      </c>
      <c r="K52"/>
      <c r="L52"/>
      <c r="M52" t="inlineStr">
        <is>
          <t>image.png</t>
        </is>
      </c>
      <c r="N52" t="inlineStr">
        <is>
          <t>原创</t>
        </is>
      </c>
      <c r="O52" s="3"/>
      <c r="P52"/>
      <c r="Q52" s="3"/>
      <c r="R52"/>
    </row>
    <row r="53" ht="25.5" customHeight="1">
      <c r="A53" t="inlineStr">
        <is>
          <t>痴人听梦</t>
        </is>
      </c>
      <c r="B53" t="inlineStr">
        <is>
          <t>2020</t>
        </is>
      </c>
      <c r="C53" s="2">
        <v>44120</v>
      </c>
      <c r="D53" t="inlineStr">
        <is>
          <t>逃离光消退的地方，放大了心跳的音量；
恐惧超标，选择在发出警告，后脑在尖叫；
脚底在疯狂地张望，浮现真真假假景象；
路的尽头，是他给你织的网，地下的方向；
“好孩子，放弃挣扎吧；
你的梦，在我这才香；
编个谎，铺满这张网；
要进化，吃人，往前放。”
（旁白：“去吧”）
“梦里人，可口吧；
梦里人，吃了它”
“梦里人，可口吧；
梦里人…”
“长久的梦像糖，黏牙，吃多了会长胖，爆炸；
痴人慌张，“请你指明我去向，给你，我的糖”；
“把我给你的网，拿上，编几个诱人的假象；
等待美味的梦，上钩后撕掉，再大口吞下”。
“好孩子，放下固执吧；
你的梦，在我这才香；
编个谎，铺满这张网；
要进化，吃人，往前放。”
“梦里人，可口吧；
梦里人，吃了它”！
“梦里人，可口吧；
梦里人，吃了它”！</t>
        </is>
      </c>
      <c r="E53" t="inlineStr">
        <is>
          <t>作词 : 白举纲
作曲 : 白举纲
编曲：白举纲
制作人：白举纲
吉他：白举纲
贝斯：白举纲
鼓：白举纲
混音：Rhys May
母带：Ted Jensen
录音：郑仕伟
出品人：申亚东
A&amp;R 企划:王瑜 Fish Wong
监制/经纪人： Maggie Xue
出品公司：天娱传媒</t>
        </is>
      </c>
      <c r="F53" t="inlineStr">
        <is>
          <t>第二维《痴人听梦》是神也是魔，是外物也是内心，是白举纲这个Dream Boy面对周遭各种反对声音的冲动和执拗。
第二维Dimension II《痴人听梦》 后脑尖叫 幻象蛊惑
第一重维度的梦境，更像是听痴人说梦。梦里结出的一颗痴心。在他们眼里他是痴，是狂，是被梦吃掉的一个痴人。当痴人来到白日梦境第二重维度，则进入了《痴人听梦》的幻象，这首歌以痴人作为第一视角，感受遗落在梦境中的痴人，所历险的遭遇。白举纲这首歌传达的核心是，在梦想的路上，会出现很多听似强大的声音，要求你放弃自己的坚持，遵循他们的标准，甚至威胁你只有与他们为伍，才能成功。所以歌里更多展现的，反而不是痴人的声音，而是痴人在梦境里听到这些不怀好意的蛊惑。
        白举纲包揽整首歌曲词曲和音乐制作。在起头的部分用了纯女声的人声，也做了大量的混响Reverb，和上一维度的《遗落梦境》呼麦做呼应，让歌曲之间有了衔接点。编曲运用大量的电子元素和三大件融合，再加上铜管乐萨克斯，在不同的段落，用不同的音乐元素，融合摇滚来表达。HipHop风格里的电子808音色，在这首歌里则成为了歌曲的桥段，加入了小过载的效果，呈现出与蛊惑力量的贴合。“好孩子，放下固执吧”，运用了法滋Fuzz的吉他音色，并且用了很多不同度的和声，让其充满凶狠的气势，从而传达出这蛊惑之音的主人，虽然语气是甜美的，但深层的欲望却是恶意满满。和声里穿插着特别小声的“去吧”，作为洗脑暗示。在主Vocal的部分，白举纲也是精心设计，因为副歌是两个人物的对话，他甚至用了不同的唱腔：痴人气声纯净，幻想厚重颗粒，从而让人从听感上就能区分这两者。</t>
        </is>
      </c>
      <c r="G53" t="inlineStr">
        <is>
          <t>白日梦境</t>
        </is>
      </c>
      <c r="H53" s="3"/>
      <c r="I53" s="3"/>
      <c r="J53" t="inlineStr">
        <is>
          <t>分享白举纲的单曲《痴人听梦》: https://y.music.163.com/m/song?id=1487271224&amp;userid=1316898734&amp;dlt=0846 (来自@网易云音乐)</t>
        </is>
      </c>
      <c r="K53"/>
      <c r="L53"/>
      <c r="M53" t="inlineStr">
        <is>
          <t>image.png</t>
        </is>
      </c>
      <c r="N53" t="inlineStr">
        <is>
          <t>原创</t>
        </is>
      </c>
      <c r="O53" s="3"/>
      <c r="P53"/>
      <c r="Q53" s="3"/>
      <c r="R53"/>
    </row>
    <row r="54" ht="25.5" customHeight="1">
      <c r="A54" t="inlineStr">
        <is>
          <t>墨菲斯</t>
        </is>
      </c>
      <c r="B54" t="inlineStr">
        <is>
          <t>2020</t>
        </is>
      </c>
      <c r="C54" s="2">
        <v>44120</v>
      </c>
      <c r="D54" t="inlineStr">
        <is>
          <t>Intro：
（墨菲斯 is coming，
墨菲斯 is coming now x4）
周围人群、景象，
教唆你再多睡一场；
停下脚步，别再冲撞，
假装担心你会因此而受伤；
戴上面具，涂上伪装，
卸掉你对梦的幻想；
情绪崩塌，世界倒下，
他死死欺骗你沉沦梦乡；
墨菲斯，
收起你虚伪的善良，
不必再去刻意描绘我看透的美丽景象；
墨菲斯，
你不必折断我的翅膀，
就算无法飞翔，
也能跑到我的战场；
墨菲斯，
战斗号角即将吹响，
不为输赢、对错，
因为我看清了自己模样；
墨菲斯，
就算我满身是伤，
满眼泪光，
也不会接受满是谎言的假象；
赤裸拥抱我真实模样；
把希望埋进，能冒险的土壤；
下个路口，如果再相遇；
告诉他吧，我们本来这样；
“不切实际，不自量力”，
这些话语，我从来没在意；
用尽力气，不再逃避，
换个目的地再继续，再战斗下去；
墨菲斯，
收起你虚伪的善良，
不必再去刻意描绘我看透的美丽景象；
墨菲斯，
你不必折断我的翅膀，
就算无法飞翔，
也能跑到我的战场；
墨菲斯，
战斗号角即将吹响，
不为输赢、对错，
因为我看清了自己模样；
墨菲斯，
就算我满身是伤，
满眼泪光，
也不会接受满是谎言的假象；
C2:
赤裸拥抱我真实模样；
把希望埋进，能冒险的土壤；
下个路口，如果再相遇；
告诉他吧，我们本来这样；
平凡的微亮，
也能发烫，
来自我背后的太阳；
升温后释放，
耗光热量，
梦握在我的手上。
Bridge：
（墨菲斯 is coming，
墨菲斯 is coming now x8）
C3:
赤裸拥抱我真实模样；
把希望埋进，能冒险的土壤；
下个路口，如果再相遇；
告诉他吧，我们本来这样；
平凡的微亮，
也能发烫，
来自我背后的太阳；
升温后释放，
耗光热量，
梦握在我的手上。</t>
        </is>
      </c>
      <c r="E54" t="inlineStr">
        <is>
          <t>作词 : 白举纲/白红
作曲 : 白举纲
编曲 : 白举纲
Beats Maker：常石磊、白举纲
吉他：白举纲
贝斯：白举纲
鼓：白举纲、殷之豪
录音：郑仕伟
工程编辑：白举纲、郑仕伟
混音：Rhys May
母带：Ted Jensen
制作人：白举纲
出品人：申亚东
监制/经纪人：Maggie Xue
A&amp;R 企划：王瑜 Fish Wong
出品公司：天娱传媒</t>
        </is>
      </c>
      <c r="F54" t="inlineStr">
        <is>
          <t>第三维《墨菲斯》，是主人公，也是同行人，是白举纲靠着坚韧和勇敢的心，走出梦境里的重重歧途，钻出了内心深处的牛角尖。
第三维Dimension III《墨菲斯》 正面抵抗 无神无魔
第三维，压轴宝藏单曲《墨菲斯》，是主人公，也是内心的恐惧，是白举纲靠着坚韧和不服的心气，在梦境里认清了自己的样子，从而觉醒，最终战胜困境，钻出了内心深处的牛角尖。整首歌充满了直接的感官刺激，白举纲直抒胸臆，在充满谎言的假象中看清了真相和自己的模样，这也是他进入下一维度《Dream Boy》的钥匙。
墨菲斯Morpheus，是梦魔。在一些神话和文艺作品里，是睡神的儿子，梦境的掌控者。在白日梦境里，墨菲斯既是想要霸占白日梦境的神魔，也是在《痴人听梦》里蛊惑痴人的幻象。所以《墨菲斯》的第一段主歌对于教唆和欺骗的描述，是在与第二维的《痴人听梦》做衔接。然后直接引出副歌的态度，给墨菲斯直接正面的对抗表态，哪怕满身是伤，不为输赢对错，就是要反抗，因为看清了自己的模样。尾声“梦握在我的手上”，又和第一维度《遗落梦境》中破碎的镜子相呼应。
在这首歌的风格上，白举纲尝试了一些旋律说唱的方式。开头Beats的原动机来自常石磊老师，白举纲配合歌曲的主题做了一些调整。副歌嘶吼地喊出“墨菲斯”，声嘶力竭，用尽全力。白举纲还叠加了多层人声，仿佛灵魂在梦里分散成了好多种力量，比如勇气、比如希望、比如热爱，把整首歌听觉上的感官刺激，直接推向了颅内。</t>
        </is>
      </c>
      <c r="G54" t="inlineStr">
        <is>
          <t>白日梦境</t>
        </is>
      </c>
      <c r="H54" s="3" t="str">
        <f>=HYPERLINK("http://t.cn/A6GNCL4K", "http://t.cn/A6GNCL4K")</f>
        <v>http://t.cn/A6GNCL4K</v>
      </c>
      <c r="I54" s="3"/>
      <c r="J54" t="inlineStr">
        <is>
          <t>分享白举纲的单曲《墨菲斯》: https://y.music.163.com/m/song?id=1487270689&amp;userid=1316898734&amp;dlt=0846 (来自@网易云音乐)</t>
        </is>
      </c>
      <c r="K54"/>
      <c r="L54"/>
      <c r="M54" t="inlineStr">
        <is>
          <t>image.png</t>
        </is>
      </c>
      <c r="N54" t="inlineStr">
        <is>
          <t>原创</t>
        </is>
      </c>
      <c r="O54" s="3"/>
      <c r="P54"/>
      <c r="Q54" s="3"/>
      <c r="R54"/>
    </row>
    <row r="55" ht="25.5" customHeight="1">
      <c r="A55" t="inlineStr">
        <is>
          <t>Dream Boy</t>
        </is>
      </c>
      <c r="B55" t="inlineStr">
        <is>
          <t>2020</t>
        </is>
      </c>
      <c r="C55" s="2">
        <v>44120</v>
      </c>
      <c r="D55" t="inlineStr">
        <is>
          <t>手甩开，烦恼都不在；
步迈开，驾雾把云摘；
听不来，什么妖魔鬼怪；
噢，此梦是我开；
摊手说拜拜，
我就是很拽，
言语变花开，
没翅膀也飞起来；
摊手说拜拜，
我就是够拽，
没什么无奈，
梦里一切都自在；
Yes，I am a Dream Boy；
Come on，Dream Boy；
摊手说拜拜，
我就是很拽，
言语变花开，
没翅膀也飞起来；
摊手说拜拜，
我就是够拽，
没什么无奈，
梦里一切都自在；
合不来，把你变海带；
海里塞，随波浪摇摆；
看不开，全都变彩带，
噢，飘越高越嗨。
摊手说拜拜，我就是很拽，
言语变花开，没翅膀也飞起来；
摊手说拜拜，我就是够拽，
没什么无奈，梦里一切都自在；
手甩开，烦恼都不在；
步迈开，驾雾把云摘；
听不来，什么妖魔鬼怪，
噢，此梦是我开；</t>
        </is>
      </c>
      <c r="E55" t="inlineStr">
        <is>
          <t>作词 : 白举纲
作曲 : 白举纲
编曲：Luke moellman</t>
        </is>
      </c>
      <c r="F55" t="inlineStr">
        <is>
          <t>第四维《Dream Boy》，是回归，也是启程，更是白举纲通过这场白日梦境，与现实世界达成和解后的自在和放松，“我的梦我做主，我的生活是我的选择”，这便是他目前的真实生活状态和音乐态度。
第四维Dimension IV《Dream Boy》 入梦一瞬 造梦一生
在第三维《墨菲斯》之前上线，是想用更具突破性和魔幻性的《墨菲斯》作为压轴的宝藏单曲。在第三重梦境中，挣脱了梦神墨菲斯的压制，摆脱了来自内心的恐惧，从“白日梦境”中觉醒后的第四维《Dream Boy》，是回归，也是启程，更是白举纲通过这场“白日梦境”，与现实世界达成和解后的自在和放松，“我的梦我做主，我的生活我决定”，这也最贴近他现阶段的真实生活状态和音乐态度。
        这首歌是经历“白日梦境”后的状态，相对其他几首歌来说，这首歌在白举纲看来。也是相对消化起来，比较简单的一首歌。歌词表述的核心内容，是醒来后对现实世界的新态度，在梦境里可以凭着信念，让墨菲斯都无法控制自己，在现实生活中，谁又能来干扰自己的想法呢？同时，也传达给听众和自己，一种鼓励和动力——要积极地看问题，懂得转换角度，学会把负面的情绪和信息变成正向输入和输出。可以学着更积极地看问题，适当转换角度，偶尔可以把负面的情绪和信息变成正向输入和输出。而这些，都是在梦境中经历的那些，让白举纲拥有了今天这个自己。这次制作上，有邀请到GreatGoodFineOk的 Luke Moellman进行编曲，段落编排上简单利落，中间有一段相对Chill的次中音萨克斯（Tenor）Solo，风格更偏house和蒸汽波一些，让人的身体和心神都可以随着律动慢慢放松下来，不自觉便随着音乐，轻松地摇摆起来。</t>
        </is>
      </c>
      <c r="G55" t="inlineStr">
        <is>
          <t>白日梦境</t>
        </is>
      </c>
      <c r="H55" s="3" t="str">
        <f>=HYPERLINK("http://t.cn/A6GhIRTR", "http://t.cn/A6GhIRTR")</f>
        <v>http://t.cn/A6GhIRTR</v>
      </c>
      <c r="I55" s="3"/>
      <c r="J55" t="inlineStr">
        <is>
          <t>分享白举纲的单曲《Dream Boy》: https://y.music.163.com/m/song?id=1487271340&amp;userid=1316898734&amp;dlt=0846 (来自@网易云音乐)</t>
        </is>
      </c>
      <c r="K55"/>
      <c r="L55"/>
      <c r="M55" t="inlineStr">
        <is>
          <t>image.png</t>
        </is>
      </c>
      <c r="N55" t="inlineStr">
        <is>
          <t>原创</t>
        </is>
      </c>
      <c r="O55" s="3"/>
      <c r="P55"/>
      <c r="Q55" s="3"/>
      <c r="R55"/>
    </row>
    <row r="56" ht="25.5" customHeight="1">
      <c r="A56" t="inlineStr">
        <is>
          <t>它们有些问题想要问我们</t>
        </is>
      </c>
      <c r="B56" t="inlineStr">
        <is>
          <t>2018</t>
        </is>
      </c>
      <c r="C56" s="2">
        <v>43459</v>
      </c>
      <c r="D56" t="inlineStr">
        <is>
          <t>
 风儿跑来它想问我：
 "我的模样是什么，镜子里能看到你没有我？"
 雨儿下楼它想问我，
 "我到底是哪一个，同样的我为何那么多？"
 树儿在唱着：
 wow～wow~wow~wow~
 我该在哪儿呢，
 wow～wow~wow~wow~
 我被墙隔绝着，
 wow～wow~wow~wow~
 天空也问我，
 开出芽，长到了哪？
 Let it go～
 石头藏在那土里呢，冒着半个头问我：
 "我的棱角为什么不见了？"
 轰鸣把梦给吵醒了，留着，无处安放的你和我。
 wow～wow~wow~wow~
 我该在哪儿呢，
 wow～wow~wow~wow~
 我被墙隔绝着，
 wow～wow~wow~wow~
 天空也问我，
 开出芽，长到了哪儿？
 生根，发芽，开花，结果，
 终究还是凋落～Let it go～
 树儿在唱着：
 wow～wow~wow~wow~
 我该在哪儿呢，
 wow～wow~wow~wow~
 我被墙隔绝着，
 wow～wow~wow~wow~
 天空也问我，
 开出芽，长到了哪儿？
 Let it go
</t>
        </is>
      </c>
      <c r="E56" t="inlineStr">
        <is>
          <t>作词: 白举纲
作曲: 白举纲
 编曲：郭小峰
 吉他：郭小峰，白举纲
 贝斯：郑仕伟
 鼓：Luke Holland
 Program：郭小峰，Erik Ron，白举纲
 录音：Erik Ron
 混音：Erik Ron
 母带：Ted Jensen
 封面：Aku</t>
        </is>
      </c>
      <c r="F56" t="inlineStr">
        <is>
          <t>风儿跑来它想问我："我的模样是什么，镜子里能看到你没有我？"
雨儿下楼它想问我，"我到底是哪一个，同样的我为何那么多？"
石头藏在那土里呢，冒着半个头问我："我的棱角为什么不见了？"
轰鸣把梦给吵醒了，留着，无处安放的你和我。
远离尘嚣的山野中，一个早起的日子，一边喝着花茶，一边感受着太阳慢慢升起时环境的状态变化。风儿、石头都像牙牙学语的小孩，对这个世界充满了疑问。童真的歌词后面是创作人白举纲再一次和自己内心的对话，当我们还小的时候，我们好奇，长大以后的我是什么样子的，会不会经历成长后所有人都一样的失去棱角，成长会带我们去向何处？梦醒，无处安放的你和我，那就Let it go～，坦然接受成长的变化吧。</t>
        </is>
      </c>
      <c r="G56" t="inlineStr">
        <is>
          <t>单曲</t>
        </is>
      </c>
      <c r="H56" s="3"/>
      <c r="I56" s="3"/>
      <c r="J56" t="inlineStr">
        <is>
          <t>分享白举纲的单曲《它们有些问题想要问我们》: https://y.music.163.com/m/song?id=1335446477&amp;userid=1316898734&amp;dlt=0846 (来自@网易云音乐)</t>
        </is>
      </c>
      <c r="K56"/>
      <c r="L56"/>
      <c r="M56" t="inlineStr">
        <is>
          <t>image.png</t>
        </is>
      </c>
      <c r="N56" t="inlineStr">
        <is>
          <t>原创</t>
        </is>
      </c>
      <c r="O56" s="3"/>
      <c r="P56"/>
      <c r="Q56" s="3"/>
      <c r="R56"/>
    </row>
    <row r="57" ht="25.5" customHeight="1">
      <c r="A57" t="inlineStr">
        <is>
          <t>我成了自己期待的样子</t>
        </is>
      </c>
      <c r="B57" t="inlineStr">
        <is>
          <t>2019</t>
        </is>
      </c>
      <c r="C57" s="2">
        <v>43829</v>
      </c>
      <c r="D57" t="inlineStr">
        <is>
          <t>你我的模样，如四季无常
不参杂多余期望
风和雨，交融汇集成小溪
不及汪洋，也够漂亮
土和泥，宽阔虽不及大地
至少滋养，灌溉生长；
你我的模样，如四季无常
不参杂多余期望
他来的不声不响，也去的足够匆忙
我和你，未曾相识却熟悉
临摹比拟，艳羡不提
来不及，与你谈天把酒续
轻描足矣，淡写着迷
你我的模样，如四季无常
不参杂多余期望
他来的不声不响
也去的足够匆忙
你翘首期待，着我的模样
可结局却在你身上
我自有心辄向往
也有所属的地方
走过险路长，品过寒梅香
也付过，我的前程帐
拿所谓安稳妥当
换自由心安奔放
你翘首期待，着我的模样
可结局却在你身上
我自有心辄向往
也有所属的地方
走过险路长，品过寒梅香
也付过，我的前程帐
拿所谓安稳妥当
换自由心安奔放
你我的模样，如四季无常
不掺杂多余期望</t>
        </is>
      </c>
      <c r="E57" t="inlineStr">
        <is>
          <t>作词: 白举纲
作曲: 白举纲
编曲：郭峻江、白举纲
混音母带：郑仕伟</t>
        </is>
      </c>
      <c r="F57" t="inlineStr">
        <is>
          <t xml:space="preserve">曾经趴在橱窗上的少年，憧憬着长大后的模样。
那时候的梦想快乐单纯，只愿能一直坚持心之所向。
茫茫人海，“成为自己期待的样子”是每个人的向往，而能笃定地向世界宣告“我成了自己期待的样子”，内心必定充盈满足。作为小白在2019年的年终总结，他用一步一步扎实的努力与坚持，踏出了专属于他自己的，他所期待的音乐之路。
可能在长大的过程里面，有些时候不知不觉会成为父母期待的样子，周围人所期待的样子，但那些可能都不是属于你自己的样子。就算自己是小溪，不及蔚蓝海洋，但也足够漂亮。请欣赏《我成了自己期待的样子》 </t>
        </is>
      </c>
      <c r="G57" t="inlineStr">
        <is>
          <t>单曲</t>
        </is>
      </c>
      <c r="H57" s="3"/>
      <c r="I57" s="3"/>
      <c r="J57" t="inlineStr">
        <is>
          <t>分享白举纲的单曲《我成了自己期待的样子》: https://y.music.163.com/m/song?id=1412929557&amp;userid=1316898734&amp;dlt=0846 (来自@网易云音乐)</t>
        </is>
      </c>
      <c r="K57"/>
      <c r="L57"/>
      <c r="M57" t="inlineStr">
        <is>
          <t>image.png</t>
        </is>
      </c>
      <c r="N57" t="inlineStr">
        <is>
          <t>原创</t>
        </is>
      </c>
      <c r="O57" s="3"/>
      <c r="P57"/>
      <c r="Q57" s="3"/>
      <c r="R57"/>
    </row>
    <row r="58" ht="25.5" customHeight="1">
      <c r="A58" t="inlineStr">
        <is>
          <t>小事</t>
        </is>
      </c>
      <c r="B58" t="inlineStr">
        <is>
          <t>2019</t>
        </is>
      </c>
      <c r="C58" s="2">
        <v>43823</v>
      </c>
      <c r="D58" t="inlineStr">
        <is>
          <t>清晨阳光是你脸庞的模样
一丝不漏的击中在我心上
朦胧背影在我的眼眸荡漾
和我颅内的跌宕起伏一样
睫毛会说话
在耳边，轻声讲童话
慵懒的，跳动着
刚好踩在心动的频率上
做饭晾衣裳
煮着咖啡煲着汤
你那双温暖的手掌永远能抚平我的伤
爱你这件小事，像一颗种子
滋养她的方式，费尽心思
爱你是件小事，从遇见你开始，
无关岁月何时
不会停止，不会停止
在你睡着时偷录的呼噜声
在你不留神拍下的双下巴
每天唠叨让我变得婆婆妈妈
这可能是遇见你，对我的惩罚；
睫毛会说话，
在耳边，轻声讲童话
慵懒的，跳动着
刚好踩在心动的频率上
做饭晾衣裳，煮着咖啡煲着汤
你那双温暖的手掌永远能抚平我的伤
爱你这件小事，像一颗种子
滋养她的方式，费尽心思
爱你是件小事，从遇见你开始
无关岁月何时
不会停止
爱你这件小事，像一颗种子
滋养她的方式，费尽心思
爱你是件小事，从遇见你开始
无关岁月何时
不会停止，不会停止</t>
        </is>
      </c>
      <c r="E58" t="inlineStr">
        <is>
          <t>作词 : 白举纲
作曲 : 白举纲
编曲：白举纲
吉他：白举纲，郑仕伟
贝斯：白举纲
鼓：白举纲
混音：郑仕伟
母带：郑仕伟</t>
        </is>
      </c>
      <c r="F58" t="inlineStr">
        <is>
          <t>盛大节日提醒我们心怀爱意，重新出发。而在节日之外，平凡生活的每天，关于爱的证据其实隐匿在一件件的小事中。
白举纲认为琐碎小事也是爱的一种表达，爱不分大小，每个人都有不同的表达方式。这首串联着日常的《小事》，在寒冬成了歌，温暖大家的双耳。
歌曲中词曲乐器由唱作人白举纲亲手填写，录制，制作。让我们跟随他，从《小事》出发，重新感受爱的渺小或伟大。</t>
        </is>
      </c>
      <c r="G58" t="inlineStr">
        <is>
          <t>单曲</t>
        </is>
      </c>
      <c r="H58" s="3"/>
      <c r="I58" s="3"/>
      <c r="J58" t="inlineStr">
        <is>
          <t>分享白举纲的单曲《小事》: https://y.music.163.com/m/song?id=1411542710&amp;userid=1316898734&amp;dlt=0846 (来自@网易云音乐)</t>
        </is>
      </c>
      <c r="K58"/>
      <c r="L58"/>
      <c r="M58" t="inlineStr">
        <is>
          <t>image.png</t>
        </is>
      </c>
      <c r="N58" t="inlineStr">
        <is>
          <t>原创</t>
        </is>
      </c>
      <c r="O58" s="3"/>
      <c r="P58"/>
      <c r="Q58" s="3"/>
      <c r="R58"/>
    </row>
    <row r="59" ht="25.5" customHeight="1">
      <c r="A59" t="inlineStr">
        <is>
          <t>走了(电影《缉枪》主题曲)</t>
        </is>
      </c>
      <c r="B59" t="inlineStr">
        <is>
          <t>2017</t>
        </is>
      </c>
      <c r="C59" s="2">
        <v>42898</v>
      </c>
      <c r="D59" t="inlineStr">
        <is>
          <t>也亲近 也遥远
思念被距离局限
像小孩不会跑远
踩在她影子后面
越真切 越费解
偏见随距离不见
没什么会改变
没什么不会变
我猜 上天一定是眷顾吧
只是想听你给他唱
那些美好的童话
请你告诉我
谁又擦肩而过
总是在
挂念却又错过许多
还有些话没说
有些话没说
多希望 你还在
重看崖后那片海
把她装进你口袋
还好有温暖作伴
不敢 再去看那老相片
不去想她是从前
停在最美的时间
请你告诉我
谁又擦肩而过
总是在
挂念却又错过许多
还有些话没说
请你告诉我
会留下些什么
看着我
渐行渐远的面孔
回到属于他的角落
上天一定是眷顾吧
只是想听你给他唱
那些美好的童话
挂念却又错过许多
还有些话没说
请你告诉我
会留下些什么
看着我
渐行渐远的面孔
回到属于他的角落
请你告诉我
谁又擦肩而过
总是在
挂念却又错过许多
还有些话没说
请你告诉我
看着我
渐行渐远
回到属于他的角落</t>
        </is>
      </c>
      <c r="E59" t="inlineStr">
        <is>
          <t>作词: 白举纲
作曲: 白举纲
编曲：郭小峰/白举纲
制作人：郭小峰
混音/母带：郑仕伟</t>
        </is>
      </c>
      <c r="F59" t="inlineStr">
        <is>
          <t>电影《缉枪》由白举纲词曲创作并演唱的电影《缉枪》主题曲《走了》正式上线，“呆萌少年”首挑大梁担任电影男主角并献唱主题曲，感情在激昂的旋律中起伏爆发。这些年，有些人走了，有些人擦身而过，却留下了不可磨灭的烙印，在未来的每一刻，久久的影响着我们。</t>
        </is>
      </c>
      <c r="G59" t="inlineStr">
        <is>
          <t>单曲</t>
        </is>
      </c>
      <c r="H59" s="3" t="str">
        <f>=HYPERLINK("https://music.163.com/mv?id=5560686", "https://music.163.com/mv?id=5560686")</f>
        <v>https://music.163.com/mv?id=5560686</v>
      </c>
      <c r="I59" s="3"/>
      <c r="J59" t="inlineStr">
        <is>
          <t>分享白举纲的单曲《走了 (电影《缉枪》主题曲)》: https://y.music.163.com/m/song?id=483690064&amp;userid=1316898734&amp;dlt=0846 (来自@网易云音乐)</t>
        </is>
      </c>
      <c r="K59"/>
      <c r="L59"/>
      <c r="M59" t="inlineStr">
        <is>
          <t>image.png</t>
        </is>
      </c>
      <c r="N59" t="inlineStr">
        <is>
          <t>原创</t>
        </is>
      </c>
      <c r="O59" s="3"/>
      <c r="P59"/>
      <c r="Q59" s="3"/>
      <c r="R59"/>
    </row>
    <row r="60" ht="25.5" customHeight="1">
      <c r="A60" t="inlineStr">
        <is>
          <t>致荣耀(《荣耀制噪者》主题曲）</t>
        </is>
      </c>
      <c r="B60" t="inlineStr">
        <is>
          <t>2017</t>
        </is>
      </c>
      <c r="C60" s="2">
        <v>42984</v>
      </c>
      <c r="D60" t="inlineStr">
        <is>
          <t>对不起
给你写的信
放了太久看不清
没关系
至少有我和你
去寻找最初的自己
跑了多久 你也数不清吧
又有多少伤疤作祟
让你放弃她
听了太多
危言耸听的话
和听不懂的笑话
想让你停下吧
未来的自己
你会是什么样
曾多少荣耀
都是对你的幻想
乘着破船载着我的老船长
你还能载舟吗
能看清吗 到岸了吗
对不起
给你写的信
放了太久看不清
放了太久看不清
没关系
至少有我和你
去寻找最初的自己
去寻找最初的自己
彼岸难闯
划进狂风骇浪
就在漩涡的中央
狠扎进你胸膛
沉入海底
再见彼伏潮汐
深入肺腑
如海里欢快的鱼
闭上眼睛
还能看见黎明
原来她离我越来越近
从未想过要离去
对不起
给你写的信
放了太久看不清
放了太久看不清
没关系
至少有我和你
去寻找最初的自己
去寻找最初的自己
Na na na na na
Na na na na na
Na na na na na
Na na na na na
Na na na na na
Na na na na na
Na na na na na
Na na na na na
Na na na na na
Na na na na na
Na na na na na
Na na na na na
给你写的信
放了太久看不清
没关系
至少有我和你
有我和你
对不起
给你写的信
放了太久看不清
放了太久看不清
没关系
至少有我和你
去寻找最初的自己
去寻找最初的自己
Na na na na na
Na na na na na
Na na na na na
Na na na na na
Na na na na na
Na na na na na
Na na na na na
Na na na na na
Na na na na na
Na na na na na
Na na na na na
Na na na na na
Na na na na na
Na na na na na
Na na na na na
Na na na</t>
        </is>
      </c>
      <c r="E60" t="inlineStr">
        <is>
          <t>作词 : 白举纲
作曲 : 白举纲
编曲：韩星洲/白举纲</t>
        </is>
      </c>
      <c r="F60" t="inlineStr">
        <is>
          <t>《致荣耀》是荣耀手机举办的荣耀制噪者原创校园音乐计划的全新主题曲，这首歌由白举纲全力担纲作曲作词并演唱。
歌曲讲述了热爱音乐的年轻人追求自己音乐梦想，坚持初心不放弃的故事。</t>
        </is>
      </c>
      <c r="G60" t="inlineStr">
        <is>
          <t>单曲</t>
        </is>
      </c>
      <c r="H60" s="3"/>
      <c r="I60" s="3"/>
      <c r="J60" t="inlineStr">
        <is>
          <t>分享白举纲的单曲《致荣耀 (《荣耀制噪者》主题曲)》: https://y.music.163.com/m/song?id=509704114&amp;userid=1316898734&amp;dlt=0846 (来自@网易云音乐)</t>
        </is>
      </c>
      <c r="K60" t="inlineStr">
        <is>
          <t>https://weibo.com/2740928150/F4bi3oakb</t>
        </is>
      </c>
      <c r="L60"/>
      <c r="M60" t="inlineStr">
        <is>
          <t>image.png</t>
        </is>
      </c>
      <c r="N60" t="inlineStr">
        <is>
          <t>原创</t>
        </is>
      </c>
      <c r="O60" s="3"/>
      <c r="P60"/>
      <c r="Q60" s="3"/>
      <c r="R60"/>
    </row>
    <row r="61" ht="25.5" customHeight="1">
      <c r="A61" t="inlineStr">
        <is>
          <t>桥（《忠犬八公》推广曲）</t>
        </is>
      </c>
      <c r="B61" t="inlineStr">
        <is>
          <t>2023</t>
        </is>
      </c>
      <c r="C61" s="2">
        <v>45043</v>
      </c>
      <c r="D61" t="inlineStr">
        <is>
          <t>大树底下是儿时的游乐场，
坐地上吃着糖喝汽水乘凉，
拿着画笔描绘未来的模样，
家的轮廓随时间长出了形状；
锅碗瓢盆像乐章一样奏响，
这些音符伴随着喜悦和失望，
陈旧的风正在吹散，
美梦背后的一张张脸庞；
别总长大才明白，温暖总是够短暂，
似乎慢慢忘记了生活很平凡，
慢点走吧，听起来很简单，
你和老去的时光，都不会重来。
我又梦到绿树成荫的地方，
躺草坪睡树上眼前微微亮，
离家乡的路没有明灯或艳阳，
难免孤单，难免会有不安；
别总长大才明白，温暖总是够短暂，
似乎慢慢忘记了生活很平凡，
慢点走吧，听起来很简单，
你和老去的时光，都不会重来。
别总长大才明白，沉默换不来答案，
熟悉温暖的过往会慢慢变淡，
“再等等吧”，回答得够简单，
但你和老去的时光，都不会重来。</t>
        </is>
      </c>
      <c r="E61" t="inlineStr">
        <is>
          <t>作词 : 白举纲
作曲 : 白举纲
编曲：郑仕伟
钢琴：肖安翔
鼓：刘紫旖
录音/混音：郑仕伟
母带：Ted Jensen
出品公司：天娱传媒
出品人：申亚东
经纪人：Maggie Xue
宣传营销：晓春/李彤/张梦迪/陈李奕
项目协力：苑亿</t>
        </is>
      </c>
      <c r="F61" t="inlineStr">
        <is>
          <t>我们都生活在一个为了生活而忙碌的世界里，我们马不停蹄地追逐，马不停蹄的忧伤，但我们始终没有丢掉爱。
演完《忠犬八公》之后，我对于爱的表达和理解有了新的感受。
把这首歌献给在外漂泊打拼的你，把这首歌献给对生活有感悟的你，愿这首歌能为你勇敢地去表达爱意增添一份小小的勇气！
爱之间是一座不需要搭建的《桥》！
这首单曲的灵感来自于白举纲主演参与的电影《忠犬八公》。在影片中白举纲饰演儿子陈新桥。
当山川将城市划分开来，一座座伫立在江中的桥梁成为了南北两岸的居民交流交通的枢纽。在漫漫时光的长河中，“桥”成为了一种象征。就像电影中的小黄狗“八筒”，它不仅展现了忠诚与爱也化身成为了连接家庭中成员们心灵的那座温暖桥梁。每个人都有属于自己的那座关于成长的桥，它承载着回忆，却也是单行道。
回忆是照进生活的光，音乐是通往光的桥。白举纲希望这首《桥》可以为家人之间对于爱的表达去送上一份勇气，也希望这首歌能像心桥般一样存在，链接彼此的心。</t>
        </is>
      </c>
      <c r="G61" t="inlineStr">
        <is>
          <t>单曲</t>
        </is>
      </c>
      <c r="H61" s="3" t="str">
        <f>=HYPERLINK("http://t.cn/A6NEhuYc", "http://t.cn/A6NEhuYc")</f>
        <v>http://t.cn/A6NEhuYc</v>
      </c>
      <c r="I61" s="3"/>
      <c r="J61" t="inlineStr">
        <is>
          <t>分享白举纲的单曲《桥》: https://y.music.163.com/m/song?id=2042621082&amp;userid=1316898734&amp;dlt=0846 (来自@网易云音乐)</t>
        </is>
      </c>
      <c r="K61" t="inlineStr">
        <is>
          <t>https://weibo.com/2740928150/DtWQXAEQX</t>
        </is>
      </c>
      <c r="L61"/>
      <c r="M61" t="inlineStr">
        <is>
          <t>image.png</t>
        </is>
      </c>
      <c r="N61" t="inlineStr">
        <is>
          <t>原创</t>
        </is>
      </c>
      <c r="O61" s="3"/>
      <c r="P61"/>
      <c r="Q61" s="3"/>
      <c r="R61"/>
    </row>
    <row r="62" ht="25.5" customHeight="1">
      <c r="A62" t="inlineStr">
        <is>
          <t>某某(《长路归家》主题曲)</t>
        </is>
      </c>
      <c r="B62" t="inlineStr">
        <is>
          <t>2017</t>
        </is>
      </c>
      <c r="C62" s="2">
        <v>43098</v>
      </c>
      <c r="D62" t="inlineStr">
        <is>
          <t>你看呀，我捧着的花，
在手中凋落啊，在爱里枯萎啊～
你在哪？彩色铅笔画，
稚嫩的手掌，拉着的是谁啊？
别这样，请你别这样，
噩梦会生长，童话会撒谎，星星不再闪光～
别这样，请你别这样，
黑色的阳光，烂在阴影上，打在我身上！
回家吧，未好的伤疤，
我愿化作土壤，滋润你成长～
想长大，奋起反抗，
却担惊受怕，再也长不大！
别这样，请你别这样，
噩梦会生长，童话会撒谎，星星不再闪光～
别这样，请你别这样，
黑色的阳光，烂在阴影上，打在我身上！
别这样，请你别这样，
噩梦会生长，童话会撒谎，星星不再闪光～
别这样，请你别这样，
黑色的阳光，烂在阴影上，打在我身上！
别这样，请你别这样，
噩梦会生长，童话会撒谎，星星不再闪光～
别这样，请你别这样，
噩梦会生长，童话会撒谎，星星不再闪光～
别这样，请你别这样，
噩梦会生长，童话会撒谎，星星不再闪光～</t>
        </is>
      </c>
      <c r="E62" t="inlineStr">
        <is>
          <t>作词 : 白举纲
作曲 : 白举纲
编曲：郭小峰,白举纲
制作人：郭小峰
和声：白举纲，郑仕伟
童声：豆豆.可乐.虾虾.元宝.希希.Karen.妮妮.牛牛.壮壮.长谷川大洋.书翰.波妞</t>
        </is>
      </c>
      <c r="F62" t="inlineStr">
        <is>
          <t>给大人们听的写给孩子的歌～
《某某》是白举纲为大人们写的一首关于小孩子的歌。白举纲除了包揽词曲创作，还参与歌曲制作、单曲封面的创意等。这首公益歌曲呼吁社会能给予儿童一个健康良好的成长环境，不再担惊受怕。愿孩子们纯真的心能永远被善待，愿美好的世界为他们所爱。特别感谢BOXI老师班上的小朋友们参与和声录制，也感谢各位家长们的大力支持。</t>
        </is>
      </c>
      <c r="G62" t="inlineStr">
        <is>
          <t>单曲</t>
        </is>
      </c>
      <c r="H62" s="3" t="str">
        <f>=HYPERLINK("https://www.bilibili.com/video/BV11s411V7Zm/?p=7&amp;share_source=copy_web&amp;vd_source=9a6bf3f0546e45af2384d1aa9db5309b", "https://www.bilibili.com/video/BV11s411V7Zm/?p=7&amp;share_source=copy_web&amp;vd_source=9a6bf3f0546e45af2384d1aa9db5309b")</f>
        <v>https://www.bilibili.com/video/BV11s411V7Zm/?p=7&amp;share_source=copy_web&amp;vd_source=9a6bf3f0546e45af2384d1aa9db5309b</v>
      </c>
      <c r="I62" s="3"/>
      <c r="J62" t="inlineStr">
        <is>
          <t>分享白举纲的单曲《某某》: https://y.music.163.com/m/song?id=526470099&amp;userid=1316898734&amp;dlt=0846 (来自@网易云音乐)</t>
        </is>
      </c>
      <c r="K62"/>
      <c r="L62"/>
      <c r="M62" t="inlineStr">
        <is>
          <t>image.png</t>
        </is>
      </c>
      <c r="N62" t="inlineStr">
        <is>
          <t>原创</t>
        </is>
      </c>
      <c r="O62" s="3"/>
      <c r="P62"/>
      <c r="Q62" s="3"/>
      <c r="R62"/>
    </row>
    <row r="63" ht="25.5" customHeight="1">
      <c r="A63" t="inlineStr">
        <is>
          <t>621</t>
        </is>
      </c>
      <c r="B63" t="inlineStr">
        <is>
          <t>2018</t>
        </is>
      </c>
      <c r="C63" s="2">
        <v>43202</v>
      </c>
      <c r="D63" t="inlineStr">
        <is>
          <t>我不太喜欢双膝跪着地，
感觉像是求生活放我过去，
抬不起的肩膀，扛不动梦想，
拍不响的手掌，还能听见渴望，
破碎的心还想疯狂，
我们的梦也曾这样。
谢谢你陪我做梦，或许那会有些痛，
打不动是我早已千疮百孔，
谢谢我还认识我，绝不短暂的取宠，
你不必懂，做影子追不上的梦。
没有人在意你流过多少泪，
并不是所有后退都是怯畏，
只要你还活着，就别想太多，
闭上眼去触摸，犯的傻和错，
你的不如意会有很多，
打磨过的坚韧是什么。
谢谢你陪我做梦，或许那会有些痛，
打不动是我早已千疮百孔，
谢谢我还认识我，绝不短暂的取宠，
你不必懂，做影子追不上的梦。
</t>
        </is>
      </c>
      <c r="E63" t="inlineStr">
        <is>
          <t>作词 : 白举纲
作曲 : 白举纲
编曲：郭小峰 白举纲 郭凌峰 殷之豪
制作人：郭小峰 白举纲
混音母带：郑仕伟</t>
        </is>
      </c>
      <c r="F63" t="inlineStr">
        <is>
          <t>你没听见过我呐喊，因为我什么都没有说。你没看见过我哀叹，因为我心底有烈火。穿过漫长沉淀，当我看见我，当我听见我，召唤从心脏冲出耳廓，流光炽热！4.13 白举纲2018全新专辑预热单曲《621》，你目光注视我，你挥挥手，一句话不说。你懂我。</t>
        </is>
      </c>
      <c r="G63" t="inlineStr">
        <is>
          <t>单曲</t>
        </is>
      </c>
      <c r="H63" s="3" t="str">
        <f>=HYPERLINK("https://music.163.com/mv?id=5887106", "https://music.163.com/mv?id=5887106")</f>
        <v>https://music.163.com/mv?id=5887106</v>
      </c>
      <c r="I63" s="3"/>
      <c r="J63" t="inlineStr">
        <is>
          <t>分享白举纲的单曲《621》: https://y.music.163.com/m/song?id=551337471&amp;userid=1316898734&amp;dlt=0846 (来自@网易云音乐)</t>
        </is>
      </c>
      <c r="K63"/>
      <c r="L63"/>
      <c r="M63" t="inlineStr">
        <is>
          <t>image.png</t>
        </is>
      </c>
      <c r="N63" t="inlineStr">
        <is>
          <t>原创</t>
        </is>
      </c>
      <c r="O63" s="3"/>
      <c r="P63"/>
      <c r="Q63" s="3"/>
      <c r="R63"/>
    </row>
    <row r="64" ht="25.5" customHeight="1">
      <c r="A64" t="inlineStr">
        <is>
          <t>再见，原点
网络大电影《成人记2》主题曲</t>
        </is>
      </c>
      <c r="B64" t="inlineStr">
        <is>
          <t>2014</t>
        </is>
      </c>
      <c r="C64" s="2">
        <v>41933</v>
      </c>
      <c r="D64" t="inlineStr">
        <is>
          <t>那年，夏天，你吻过我的脸
转眼，一切，只剩从前
梦想，走远，是否还站在原点
时间，再见，何时会见
孤单的云，吹散，飘到海平面，模糊了前方视线
远方的岸，不见，落寞的灯光在浮现，看见的不是永远，喔喔~~耶耶~~
呐唔~~~耶~~~
你送我的甜，我一直藏在心田
呐唔~~~耶~~~
世界在改变，我们还是从前
那年，夏天，你吻过我的脸
转眼，一切，只剩从前
梦想，走远，是否还站在原点
时间，再见，何时会见，喔喔~~耶耶~~喔喔~~
那年，再见
夏天，再见
青春，再见
梦想，再见
呐唔~~~耶~~~
你送我的甜，我一直藏在心田
呐唔~~~耶~~~
世界在改变，我们还是从前</t>
        </is>
      </c>
      <c r="E64" t="inlineStr">
        <is>
          <t>作词 : 白举纲
作曲 : 白举纲</t>
        </is>
      </c>
      <c r="F64" t="inlineStr">
        <is>
          <t>白举纲演唱《成人记2》主题曲 《再见，原点》温暖首发
天娱传媒旗下艺人白举纲，自出道以来一直以青春、阳光的形象被大家称为优质偶像。首次涉足影视剧，主演的网络大电影《成人记2》也即将于11月1日上线，主题曲《再见，原点》首发。愈发成熟的唱腔与更加细腻的情感表达，白举纲用自己的作品诉说着青春的离别和成长。
成长就是无数个圆圈，学会遗忘的圈，谈恋爱的那个圈，做梦的那个圈，还有第一次当男主角的圈，走完一个圈，封存一个圈。站在离原点最近的终点，说声你好，再见，然后继续向前！</t>
        </is>
      </c>
      <c r="G64" t="inlineStr">
        <is>
          <t>单曲</t>
        </is>
      </c>
      <c r="H64" s="3"/>
      <c r="I64" s="3"/>
      <c r="J64" t="inlineStr">
        <is>
          <t>分享白举纲的单曲《再见，原点 (网络大电影《成人记2》主题曲)》: https://y.music.163.com/m/song?id=29553951&amp;userid=1316898734&amp;dlt=0846 (来自@网易云音乐)</t>
        </is>
      </c>
      <c r="K64"/>
      <c r="L64"/>
      <c r="M64" t="inlineStr">
        <is>
          <t>image.png</t>
        </is>
      </c>
      <c r="N64" t="inlineStr">
        <is>
          <t>原创</t>
        </is>
      </c>
      <c r="O64" s="3"/>
      <c r="P64"/>
      <c r="Q64" s="3"/>
      <c r="R64"/>
    </row>
    <row r="65" ht="25.5" customHeight="1">
      <c r="A65" t="inlineStr">
        <is>
          <t>乘着破船回家</t>
        </is>
      </c>
      <c r="B65" t="inlineStr">
        <is>
          <t>2013</t>
        </is>
      </c>
      <c r="C65" s="2">
        <v>41560</v>
      </c>
      <c r="D65" t="inlineStr">
        <is>
          <t>以往的梦想去哪儿了
现在想想也只是煎熬
没有光照的路
自己也不怕跌倒
过去的坚持去哪儿了
我现在仍旧风吹就倒
走向对岸的海
无论自己有多疲劳
我乘着破旧的船
在回家的路上
我载着你一起
不管有多艰难
我乘着破旧的船
在回家的路上
时间还够用
不会在途中被淹没
被淹没
以往的梦想去哪儿了
现在想想也只是煎熬
没有光照的路
自己也不怕跌倒
过去的坚持去哪儿了
我现在仍旧风吹就倒
走向对岸的海
无论自己有多疲劳
我乘着破旧的船
在回家的路上
我载着你一起
不管有多艰难
我乘着破旧的船
在回家的路上
时间还够用
不会在途中被淹没
被淹没
我乘着破旧的船
在回家的路上
我载着你一起
不管有多艰难
我乘着破旧的船
在回家的路上
时间还够用
不会在途中被淹没
被淹没
我乘着破旧的船
在回家的路上
时间还够用
不会在途中被淹没
被淹没</t>
        </is>
      </c>
      <c r="E65" t="inlineStr">
        <is>
          <t>作词: 白举纲
作曲: 白举纲
制作人：刘大江
编曲：宋涛
吉他：山子
和音编写：刘大江
和音：刘大江 小卓
录音：刘大江
录音室：缪思音乐录音棚（湖南）
混音：瞿然
混音室：炫耳音乐工作室、蛐蛐噪音场</t>
        </is>
      </c>
      <c r="F65"/>
      <c r="G65" t="inlineStr">
        <is>
          <t>追梦敢不敢</t>
        </is>
      </c>
      <c r="H65" s="3" t="str">
        <f>=HYPERLINK("https://music.163.com/mv?id=247009", "https://music.163.com/mv?id=247009")</f>
        <v>https://music.163.com/mv?id=247009</v>
      </c>
      <c r="I65" s="3"/>
      <c r="J65" t="inlineStr">
        <is>
          <t>分享白举纲的单曲《乘着破船回家》: https://163cn.tv/5Acz7hB (来自@网易云音乐)</t>
        </is>
      </c>
      <c r="K65"/>
      <c r="L65"/>
      <c r="M65" t="inlineStr">
        <is>
          <t>image.png</t>
        </is>
      </c>
      <c r="N65" t="inlineStr">
        <is>
          <t>原创</t>
        </is>
      </c>
      <c r="O65" s="3"/>
      <c r="P65"/>
      <c r="Q65" s="3"/>
      <c r="R65"/>
    </row>
    <row r="66" ht="25.5" customHeight="1">
      <c r="A66" t="inlineStr">
        <is>
          <t>说走就走（《说走就走之不说再见》推广曲）</t>
        </is>
      </c>
      <c r="B66" t="inlineStr">
        <is>
          <t>2018</t>
        </is>
      </c>
      <c r="C66" s="2">
        <v>43340</v>
      </c>
      <c r="D66" t="inlineStr">
        <is>
          <t>擦不掉篇章 提起笔和窗
关上灯的夜晚还会亮
银河躺两旁 你在我身旁
你的影子随我去远方
感觉还一样 说笑着悲伤
都忘了停歇长什么样
时间结痂 冰雪捶打
伤口像你脚下踩的碎沙
落一旁 还会埋上 缓慢的生长
雨雪夹着浪 我们逆风飞翔
看初升太阳 站在我们肩上
疲惫也倔强 就算 漫长
眼泪在流淌 放肆 歌唱
年轻的时光 参杂着忧伤
幸运的是你在我身旁
时间结痂 冰雪捶打
伤口像你脚下踩的碎沙
落一旁 还会埋上 缓慢的生长 向着光
Halo halo halo
雨雪夹着浪 我们逆风飞翔
看初升太阳 站在我们肩上
疲惫也倔强 就算 漫长
眼泪在流淌 放肆 歌唱
I don't want you go
I don't want you go
I don't want you go
I don't I don't I don't want you go
我们逆风飞翔
疲惫也倔强 就算 漫长
眼泪在流淌 放肆 歌唱
雨雪夹着浪 我们逆风飞翔
看初升太阳 站在我们肩上
疲惫也倔强 就算 漫长
眼泪在流淌 放肆 歌唱 陪我去流浪</t>
        </is>
      </c>
      <c r="E66" t="inlineStr">
        <is>
          <t>词：白举纲
曲：白举纲
制作人：郭小峰
混音母带：郑仕伟</t>
        </is>
      </c>
      <c r="F66" t="inlineStr">
        <is>
          <t>《说走就走》作为9月14日上映的电影《说走就走之不说再见》主题曲正式上线，由歌手白举纲亲自作词作曲并献唱。摇滚风格的旋律藏着追求“说走就走”的自由灵魂。雨雪夹着浪，我们逆风飞翔，情绪在激昂的节奏里爆发，热血少年在年轻的时光，放肆歌唱。</t>
        </is>
      </c>
      <c r="G66" t="inlineStr">
        <is>
          <t>单曲</t>
        </is>
      </c>
      <c r="H66" s="3" t="str">
        <f>=HYPERLINK("https://music.163.com/mv?id=10773045", "https://music.163.com/mv?id=10773045")</f>
        <v>https://music.163.com/mv?id=10773045</v>
      </c>
      <c r="I66" s="3"/>
      <c r="J66" t="inlineStr">
        <is>
          <t>分享白举纲的单曲《说走就走 (电影《说走就走之不说再见》主题曲)》: https://y.music.163.com/m/song?id=1305366002&amp;userid=1316898734&amp;dlt=0846 (来自@网易云音乐)</t>
        </is>
      </c>
      <c r="K66"/>
      <c r="L66"/>
      <c r="M66" t="inlineStr">
        <is>
          <t>image.png</t>
        </is>
      </c>
      <c r="N66" t="inlineStr">
        <is>
          <t>原创</t>
        </is>
      </c>
      <c r="O66" s="3"/>
      <c r="P66"/>
      <c r="Q66" s="3" t="str">
        <f>=HYPERLINK("分享白举纲的单曲《说走就走 (伴奏)》: https://y.music.163.com/m/song?id=1305367989&amp;userid=1316898734&amp;dlt=0846 (来自@网易云音乐)", "伴奏")</f>
        <v>伴奏</v>
      </c>
      <c r="R66"/>
    </row>
    <row r="67" ht="25.5" customHeight="1">
      <c r="A67" t="inlineStr">
        <is>
          <t>圈儿</t>
        </is>
      </c>
      <c r="B67" t="inlineStr">
        <is>
          <t>2015</t>
        </is>
      </c>
      <c r="C67" s="2">
        <v>42352</v>
      </c>
      <c r="D67" t="inlineStr">
        <is>
          <t>乘着光
看一看自己的信藏在哪儿
乘着光
追一追
你也好梦也罢</t>
        </is>
      </c>
      <c r="E67" t="inlineStr">
        <is>
          <t>作词 : 白举纲
作曲 : 白举纲</t>
        </is>
      </c>
      <c r="F67"/>
      <c r="G67" t="inlineStr">
        <is>
          <t>白热化</t>
        </is>
      </c>
      <c r="H67" s="3"/>
      <c r="I67" s="3"/>
      <c r="J67" t="inlineStr">
        <is>
          <t>分享白举纲的单曲《Circle 圈儿》https://m.kugou.com/share/song.html?chain=7U6SfaeG0V2 （@酷狗音乐）</t>
        </is>
      </c>
      <c r="K67"/>
      <c r="L67"/>
      <c r="M67" t="inlineStr">
        <is>
          <t>image.png</t>
        </is>
      </c>
      <c r="N67" t="inlineStr">
        <is>
          <t>原创</t>
        </is>
      </c>
      <c r="O67" s="3"/>
      <c r="P67"/>
      <c r="Q67" s="3"/>
      <c r="R67"/>
    </row>
    <row r="68" ht="25.5" customHeight="1">
      <c r="A68" t="inlineStr">
        <is>
          <t>听不明白</t>
        </is>
      </c>
      <c r="B68" t="inlineStr">
        <is>
          <t>2015</t>
        </is>
      </c>
      <c r="C68" s="2">
        <v>42193</v>
      </c>
      <c r="D68" t="inlineStr">
        <is>
          <t>我说，我太多不应该；
你说，我还像个小孩；
空的瓶子，装满记忆，可我却怎么都打不开。
脸上的阳光已不再；
点点滴滴卷进磁带；
过去的碎片连起来，可我却怎么也听不明白。
还是同样的歌，但听起来悲伤难过；
还是同样的我，你会怎样抉择。
你要放弃那颗自私凄凉的心；
你去迎接那颗炙热真诚的心；
亦是烈阳暴风晴朗或天阴；
一点一点我，越来越模糊不清。
还是同样的歌，但听起来悲伤难过；
还是同样的我，你会怎样抉择。
你要放弃那颗自私凄凉的心；
你去迎接那颗炙热真诚的心；
亦是烈阳暴风晴朗或天阴；
一点一点我，越来越模糊不清。
你要放弃那颗自私凄凉的心；
你去迎接那颗炙热真诚的心；
你要放弃那颗自私凄凉的心；
你去迎接那颗炙热真诚的心；
亦是烈阳暴风晴朗或天阴；
一点一点我，越来越模糊不清。</t>
        </is>
      </c>
      <c r="E68" t="inlineStr">
        <is>
          <t>作词 : 白举纲
作曲 : 白举纲</t>
        </is>
      </c>
      <c r="F68"/>
      <c r="G68" t="inlineStr">
        <is>
          <t>少年白</t>
        </is>
      </c>
      <c r="H68" s="3"/>
      <c r="I68" s="3"/>
      <c r="J68" t="inlineStr">
        <is>
          <t>分享白举纲的单曲《听不明白》: https://y.music.163.com/m/song?id=33004648&amp;userid=1316898734&amp;dlt=0846 (来自@网易云音乐)</t>
        </is>
      </c>
      <c r="K68"/>
      <c r="L68"/>
      <c r="M68" t="inlineStr">
        <is>
          <t>image.png</t>
        </is>
      </c>
      <c r="N68" t="inlineStr">
        <is>
          <t>原创</t>
        </is>
      </c>
      <c r="O68" s="3"/>
      <c r="P68"/>
      <c r="Q68" s="3"/>
      <c r="R68"/>
    </row>
    <row r="69" ht="25.5" customHeight="1">
      <c r="A69" t="inlineStr">
        <is>
          <t>浮城</t>
        </is>
      </c>
      <c r="B69" t="inlineStr">
        <is>
          <t>2015</t>
        </is>
      </c>
      <c r="C69" s="2">
        <v>42193</v>
      </c>
      <c r="D69" t="inlineStr">
        <is>
          <t>喧嚣的车声在回荡，
诉说着嘲笑和悲伤；
夜晚的光，
是被笼罩的太阳；
超频的尖叫在循环里重复失望；
窗外不是蓝天又见一堵墙。
玻璃隔绝对世界的幻想，
儿时的笑容成迷茫；
沉睡的坚持，
现在还躺在泥塘；
菲薄的自大，
熙熙攘攘占满磁场；
还有谁带着温暖的手掌。
风，扇痛我脸庞；
你 是否还听我唱。
我看过易碎的漂泊，
带着疼痛慢慢去享受；
不要慌张，还是以往美好景象；
不要停下，寻找自己内心的模样；
还有谁，软弱的等着阳光。
慌慌张张，慌慌张张，不敢做也不敢想。
想，
推开僵硬的办公桌；
想，
跳进冰冷逆流的河；
把妥协，
甩出世界角落，无论喜悲，无关对错；
抛开这，
乱世浮城，脱下伪装，不再苟且活。
慌慌张张，不敢走向远方
慌慌张张，不愿确定方向
慌慌张张，慌慌张张，不敢做也不敢想。
慌慌张张，慌慌张张，不敢做也不敢想。
想，
推开僵硬的办公桌；
想，
跳进冰冷逆流的河；
把妥协，
甩出世界角落，无论喜悲，无关对错；
抛开这，
乱世浮城，脱下伪装，不再苟且活。</t>
        </is>
      </c>
      <c r="E69" t="inlineStr">
        <is>
          <t>作词: 白举纲 / 白红
作曲 : 白举纲</t>
        </is>
      </c>
      <c r="F69"/>
      <c r="G69" t="inlineStr">
        <is>
          <t>少年白</t>
        </is>
      </c>
      <c r="H69" s="3" t="str">
        <f>=HYPERLINK("https://music.163.com/mv?id=514205&amp;uct2=U2FsdGVkX18GTUPfz7oEPa24xLLusyQoz/mN0RAA2UQ=", "https://music.163.com/mv?id=514205&amp;uct2=U2FsdGVkX18GTUPfz7oEPa24xLLusyQoz/mN0RAA2UQ=")</f>
        <v>https://music.163.com/mv?id=514205&amp;uct2=U2FsdGVkX18GTUPfz7oEPa24xLLusyQoz/mN0RAA2UQ=</v>
      </c>
      <c r="I69" s="3"/>
      <c r="J69" t="inlineStr">
        <is>
          <t>分享白举纲的单曲《浮城》: https://y.music.163.com/m/song?id=31421369&amp;userid=1316898734&amp;dlt=0846 (来自@网易云音乐)</t>
        </is>
      </c>
      <c r="K69"/>
      <c r="L69"/>
      <c r="M69" t="inlineStr">
        <is>
          <t>image.png</t>
        </is>
      </c>
      <c r="N69" t="inlineStr">
        <is>
          <t>原创</t>
        </is>
      </c>
      <c r="O69" s="3"/>
      <c r="P69"/>
      <c r="Q69" s="3"/>
      <c r="R69"/>
    </row>
    <row r="70" ht="25.5" customHeight="1">
      <c r="A70" t="inlineStr">
        <is>
          <t>燃</t>
        </is>
      </c>
      <c r="B70" t="inlineStr">
        <is>
          <t>2015</t>
        </is>
      </c>
      <c r="C70" s="2">
        <v>42193</v>
      </c>
      <c r="D70" t="inlineStr">
        <is>
          <t>我看着灰色的天，
和你倦怠的眼，
突然疲惫了，
突然熟悉了，
撑不下去的感觉；
路那么宽，
心那么窄，
走进无边的荒野，
噢 我的生活，
对你说声抱歉，
我过得越来越费解。
我们都有太多遗憾，
却在阳光下沉睡，
夜里睁大眼睛，
看着月光，
却想要追到太阳；
不愿再像落叶一样，
随它迷失方向，
请有一次逞强，
耗光热量，
再一次我笑着倔强。
再一次远航，
追逐大海的梦想，
随它狂风巨浪，
坚定方向，
再一次我绝不退让；
再一次翱翔，
追寻天空的信仰，
只为一抹蔚蓝，
跨越沧桑，
再一次我绝不彷徨。
我现在总问自己，
能否坚持下去，
不安的命运里，
恐惧的黑暗里，
感谢你温暖的抱紧；
我们都曾在生活中，
都曾不知所措，
忘掉所有枷锁，
重拾自我，
再一次我绝不闪躲。
再一次远航，
追逐大海的梦想，
随它狂风巨浪，
坚定方向，
再一次我绝不退让；
再一次翱翔，
追寻天空的信仰，
只为一抹蔚蓝，
跨越沧桑，
再一次我绝不彷徨。
我们处处挥洒着，
青春的，泪和痛；
是否我们都忘了些什么？
再一次远航，
追逐大海的梦想，
狂风巨浪，
坚定方向，
再一次我绝不退让；
再一次远航，
再一次我
再一次我
再一次我</t>
        </is>
      </c>
      <c r="E70" t="inlineStr">
        <is>
          <t>作词 : 白举纲 / 白红
作曲 : 白举纲</t>
        </is>
      </c>
      <c r="F70"/>
      <c r="G70" t="inlineStr">
        <is>
          <t>少年白</t>
        </is>
      </c>
      <c r="H70" s="3"/>
      <c r="I70" s="3"/>
      <c r="J70" t="inlineStr">
        <is>
          <t>分享白举纲的单曲《燃》: https://y.music.163.com/m/song?id=31654665&amp;userid=1316898734&amp;dlt=0846 (来自@网易云音乐)</t>
        </is>
      </c>
      <c r="K70"/>
      <c r="L70"/>
      <c r="M70" t="inlineStr">
        <is>
          <t>image.png</t>
        </is>
      </c>
      <c r="N70" t="inlineStr">
        <is>
          <t>原创</t>
        </is>
      </c>
      <c r="O70" s="3"/>
      <c r="P70"/>
      <c r="Q70" s="3"/>
      <c r="R70"/>
    </row>
    <row r="71" ht="25.5" customHeight="1">
      <c r="A71" t="inlineStr">
        <is>
          <t>Happy</t>
        </is>
      </c>
      <c r="B71" t="inlineStr">
        <is>
          <t>2015</t>
        </is>
      </c>
      <c r="C71" s="2">
        <v>42193</v>
      </c>
      <c r="D71" t="inlineStr">
        <is>
          <t>日记里，总藏着小秘密，初开的情书，懵懂的言语；
睡梦里，有太多夜空繁星，想象你躺在我手臂，轻声细语；
走廊里，悄悄看你背影，想着能从背后抱你在怀里；
上课铃，偏这时把我吵醒，多希望这样的梦不会醒。
多想过去，想看老师发脾气，想要和你玩游戏；
多想过去，再尝青涩的朝气，再走青葱的边际。
手掌里，还依旧清晰，第一次牵手的紧张气息；
眼睛里，还时刻憧憬，那年悔过的都不再放弃。
多想过去，想看老师发脾气，想要和你玩游戏；
多想过去，再尝青涩的朝气，再走青葱的边际。
过去的橡皮，还在那里，可它擦不掉这篇美丽，这篇回忆；
现在的铅笔，还在手里，书写着我们的继续，继续美丽。
多想过去，想看老师发脾气，想要和你玩游戏；
多想过去，再尝青涩的朝气，再走青葱的边际。
多想过去，想看老师发脾气，想要和你玩游戏；
多想过去，再尝青涩的朝气，再走青葱的边际。
上课铃，偏这时把我吵醒，多希望这样的梦不会醒。</t>
        </is>
      </c>
      <c r="E71" t="inlineStr">
        <is>
          <t>作词 : 白举纲
作曲 : 白举纲</t>
        </is>
      </c>
      <c r="F71" t="inlineStr">
        <is>
          <t>青春、梦想、快乐？
快乐、Happy、小白？！
小白、白举纲、青春……
白举纲 首张个人全创作专辑
第四波预热主打 【Happy】
在最美好的青春岁月里
听小白唱情歌，唱进每个简单灵魂的心窝，
唱一首以【快乐】命名的小情歌
⊙青春=最简单
六月，夏天，毕业季。
白举纲正式推出第四波预热主打，同时也是首张个人全创作专辑倒计时之作《Happy》。
不同于前三波主打歌《浮城》《燃》《Mr.White&amp;Mr.Black》
一步步塑造出来的耳目一新，“忧国忧民”，充满大男人视角和男性魅力的白举纲，
《Happy》为我们呈现的，是一个大家最熟悉、最纯粹、最可爱的“少年小白”。
嘴角上扬，微笑，没来由地对着天空放声大叫，
身体前倾，呼吸，紧张地交换触动心跳的眼神，
青春，就是这样简简单单，毫无负担的情绪传递。
“写这首歌的时候，想到了自己读书的时候，想起了当年的羞涩的校园生活。虽然老师和家长在很早之前就说不能谈恋爱哈，但是自己还是会偷偷的，想起来就挺搞笑的，只要能多说喜欢的女生一句话，就觉得太美好了，回家后就会躺在沙发上，做着白日梦，哈哈。突然，又从回忆的思绪中回来了，就是一股怀念，所以又是多想过去，怀念过去校园生活中的小幸福，那些值得的美丽还在自己的手心，还能够感受到。虽然过去很美好，但我们的生活还是要继续前进，让我们的每一天都能够和从前一样美丽。”——白举纲
⊙情歌=零负担
这是小白第一次唱情歌。
“走廊里，悄悄看你背影，想着能从背后抱你在怀里，
上课铃，偏这时把我吵醒，多希望这样的梦不会醒……”
听到小白唱情歌的我们，实在是忍俊不禁，然后也不由得想到自己曾经历或正在经历的青春，也是这般现实里羞涩、梦境里大胆着。
那些心爱的、念念不忘的男孩女孩，也许会在【未来】来到之前就变成【过去】，
可是只要想起，就是现在能拥有的最快乐的回忆。
所以我们听到的《Happy》，是只有小白能够创作和诠释的“零负担”情歌！
没有故作忧郁的狗血，只有活蹦乱跳的鸡血！
没有苦大仇深的倾诉，只有脸红心跳的情愫！
再度携手韩国资深音乐人Nick Pyo，民谣的清澈旋律搭配音乐剧般的华丽节奏，
吉他和鼓点放肆随小白起舞 而青春是永远时尚的复古情怀，初恋本就该用快乐定义——
“过去的橡皮，还在那里，可它擦不掉这篇美丽，这篇回忆，
现在的铅笔，还在手里，书写着我们的继续，继续美丽。”
⊙爱=Happy
提到爱，一个字，古往今来，千头万绪，描述不尽。
小白“博古通今”，“中西合璧”，就是“Happy”！
这是小白第一次正式发表的小情歌，也恰好赶上了青春电影正风靡国内，整个企划制作团队设计让小白以“穿越主角”身份，游走在《小时代》《匆匆那年》《左耳》《何以笙箫默》《栀子花开》等一系列青春电话的海报画面里，以以各种不可思议的模样“空降”到主演阵容中，令大家在捧腹大笑之中，也真正体会到青春与Happy的含义。
什么含义？没那么复杂，
青春，就是听着小白唱着《Happy》，我们一起继续Happy，继续爱！</t>
        </is>
      </c>
      <c r="G71" t="inlineStr">
        <is>
          <t>少年白</t>
        </is>
      </c>
      <c r="H71" s="3"/>
      <c r="I71" s="3"/>
      <c r="J71" t="inlineStr">
        <is>
          <t>分享白举纲的单曲《Happy》: https://163cn.tv/5AhLZ46 (来自@网易云音乐)</t>
        </is>
      </c>
      <c r="K71"/>
      <c r="L71"/>
      <c r="M71" t="inlineStr">
        <is>
          <t>image.png,image.png</t>
        </is>
      </c>
      <c r="N71" t="inlineStr">
        <is>
          <t>原创</t>
        </is>
      </c>
      <c r="O71" s="3"/>
      <c r="P71"/>
      <c r="Q71" s="3"/>
      <c r="R71"/>
    </row>
    <row r="72" ht="25.5" customHeight="1">
      <c r="A72" t="inlineStr">
        <is>
          <t>低头的世界</t>
        </is>
      </c>
      <c r="B72" t="inlineStr">
        <is>
          <t>2015</t>
        </is>
      </c>
      <c r="C72" s="2">
        <v>42193</v>
      </c>
      <c r="D72" t="inlineStr">
        <is>
          <t>Oh朋友
总低着头
一言不发
学会了沉默 无奈
浸泡在 低头的世界里
多自在 虚拟幻象的对白
独自记载 喜乐哀愁
只能自己拍
你已习惯
守着小小的房间发呆
似乎踏出门就失去方向感
没有光照着岸
天不是低头向下看
还不明白
点滴的快乐从何来
我们无时都在
埋着头精彩
却只能与网络为伴
低头的世界 充满诱惑
虚拟空间 能够操纵你我
最软弱 最痛的过错
让你沉入它的小漩涡
低头的世界 抛弃生活
看看身边
是否还在沉默
请叫醒我
抬头吧
看看远处红色的晨光
像野草大树一样
迎着光成长 顶着雨风霜
逆流中追着梦想
放下吧
像儿时一样放肆玩耍
就算鞋底跑破也不怕
只想去 看遍世界模样
低头的世界 充满诱惑
虚拟空间 能够操纵你我
最软弱
最痛的过错
让你沉入它的小漩涡
低头的世界
抛弃生活
看看身边
是否还在沉默
请叫醒我</t>
        </is>
      </c>
      <c r="E72" t="inlineStr">
        <is>
          <t>作词 : 白举纲 / 白红
作曲 : 白举纲</t>
        </is>
      </c>
      <c r="F72"/>
      <c r="G72" t="inlineStr">
        <is>
          <t>少年白</t>
        </is>
      </c>
      <c r="H72" s="3"/>
      <c r="I72" s="3"/>
      <c r="J72" t="inlineStr">
        <is>
          <t>分享白举纲的单曲《低头的世界》: https://163cn.tv/5AiCGQs (来自@网易云音乐)</t>
        </is>
      </c>
      <c r="K72"/>
      <c r="L72"/>
      <c r="M72" t="inlineStr">
        <is>
          <t>image.png</t>
        </is>
      </c>
      <c r="N72" t="inlineStr">
        <is>
          <t>原创</t>
        </is>
      </c>
      <c r="O72" s="3"/>
      <c r="P72"/>
      <c r="Q72" s="3"/>
      <c r="R72"/>
    </row>
    <row r="73" ht="25.5" customHeight="1">
      <c r="A73" t="inlineStr">
        <is>
          <t>Mr.White&amp;Mr.Black</t>
        </is>
      </c>
      <c r="B73" t="inlineStr">
        <is>
          <t>2015</t>
        </is>
      </c>
      <c r="C73" s="2">
        <v>42193</v>
      </c>
      <c r="D73" t="inlineStr">
        <is>
          <t>what to do what to do what to do
衣服沾满油污 日子糊糊涂涂
what to do what to do what to do
历经风风雨雨 却是沉沉浮浮
不爽就来杯饮料 说话别那么严肃
双面人 太忧郁 太孤独
别人写的书不是自己走的路
打了哈欠 伸了懒腰 却不想睡觉
Mr.white Mr.black
呆头呆脑自己寻找不痛快
Mr.white Mr.black
一个要未来 一个要现在
Mr.white Mr.black
理解是彼此最大的障碍
Mr.white Mr.black
互相的心思都不要猜
what to do what to do what to do
整天奔波忙碌 从不停下脚步
what u do what u do what u do
你忍受着欺负还是胸无城府
我不是原地踏步 不要再说我麻木
生活就 太无奈 太精彩
快不快乐都没有意义存在
打了哈欠 伸了懒腰 却不想睡觉
Mr.white Mr.black
呆头呆脑自己寻找不痛快
Mr.white Mr.black
一个要未来 一个要现在
Mr.white Mr.black
理解是彼此最大的障碍
Mr.white Mr.black
互相的心思都不要猜 不要猜
what to do what to do what to do
衣服沾满油污 日子糊糊涂涂
what u do what u do what u do
历经风风雨雨 却是沉沉浮浮
Mr.white Mr.black
呆头呆脑自己寻找不痛快
Mr.white Mr.black
一个要未来 一个要现在
Mr.white~
Mr.black~
You are the Mr.white Mr.black
互相的心思都不要猜</t>
        </is>
      </c>
      <c r="E73" t="inlineStr">
        <is>
          <t>作词 : 白举纲 / 白红
作曲 : 白举纲</t>
        </is>
      </c>
      <c r="F73" t="inlineStr">
        <is>
          <t>你说，黑与白相生相克？
我说，黑与白相亲相爱！
你说，是与非没有那么绝对？
我说，想唱出最绝对的相对！
亲爱的，这一次，我们跟小白，玩一场刺激的分裂游戏。
记住，并不是头破血流挣扎至死的纠与结，
原来，早就该接受灵魂深处潜藏的我与我。
白举纲 首张全创作个人专辑
第三波 预热主打 Mr.White &amp; Mr.Black
自说自话 自黑自白 自我解答
发现，藏在那小白心里的黑与白
白先生说：做眼神干净笑容憨厚表情简单的白小孩。
黑先生说：明明是内心闷骚狂热等待爆发的黑少年。
世界很大 谁不想出去看看？
改变角度 看一切是直或弯！
换个姿势 和小白一起放肆，
现在开始 让梦想为你而【燃】！
白举纲第二波【去标签化】全创作主打</t>
        </is>
      </c>
      <c r="G73" t="inlineStr">
        <is>
          <t>少年白</t>
        </is>
      </c>
      <c r="H73" s="3" t="str">
        <f>=HYPERLINK("https://music.163.com/mv?id=502197&amp;uct2=U2FsdGVkX1+5dxiRxUkfmf7KC2jzzf+LSQ3x6ywnwFI=", "https://music.163.com/mv?id=502197&amp;uct2=U2FsdGVkX1+5dxiRxUkfmf7KC2jzzf+LSQ3x6ywnwFI=")</f>
        <v>https://music.163.com/mv?id=502197&amp;uct2=U2FsdGVkX1+5dxiRxUkfmf7KC2jzzf+LSQ3x6ywnwFI=</v>
      </c>
      <c r="I73" s="3"/>
      <c r="J73" t="inlineStr">
        <is>
          <t>分享白举纲的单曲《Mr.White&amp;Mr.Black》: https://163cn.tv/5Ah6YDt (来自@网易云音乐)</t>
        </is>
      </c>
      <c r="K73"/>
      <c r="L73"/>
      <c r="M73" t="inlineStr">
        <is>
          <t>image.png,image.png</t>
        </is>
      </c>
      <c r="N73" t="inlineStr">
        <is>
          <t>原创</t>
        </is>
      </c>
      <c r="O73" s="3"/>
      <c r="P73"/>
      <c r="Q73" s="3"/>
      <c r="R73"/>
    </row>
    <row r="74" ht="25.5" customHeight="1">
      <c r="A74" t="inlineStr">
        <is>
          <t>装睡</t>
        </is>
      </c>
      <c r="B74" t="inlineStr">
        <is>
          <t>2015</t>
        </is>
      </c>
      <c r="C74" s="2">
        <v>42193</v>
      </c>
      <c r="D74" t="inlineStr">
        <is>
          <t>曾经做过的梦
被雾霾藏在楼宇中
聆听着午夜带的痛
把痛藏在闹钟
从未听见它响动
贪恋着安逸
在路上却行色匆匆
匆匆的脚步中
载着岁月的泪和梦
到现在已悄然无踪
悄然失去放纵
还躺在原地做白日梦
昏沉的日子
只是残喘的苟同
Hey man what you knew
Don't tell me you can do
别再荒芜的活着
藏在谷底 在迷途
Hey man what you knew
Don't tell me you can do
别徘徊 再一次彩排
请看清楚 看清脚下的路
来往的人啊
你看我模样多傻瓜
像白纸一样被弄脏
追逐的人啊
请停下胡乱的冲撞
眼中的现状不是如你的想象
Hey man what you knew
Don't tell me you can do
别再荒芜的活着
藏在谷底在迷途
Hey man what you knew
Don't tell me you can do
别徘徊 再一次彩排
请看清楚 看清脚下的路
Hey man what you knew
Don't tell me you can do
别再荒芜的活着
藏在谷底 在迷途
Hey man what you knew
Don't tell me you can do
别徘徊 再一次彩排请看清楚
看清脚下的路</t>
        </is>
      </c>
      <c r="E74" t="inlineStr">
        <is>
          <t>作词 : 白举纲
作曲 : 白举纲</t>
        </is>
      </c>
      <c r="F74"/>
      <c r="G74" t="inlineStr">
        <is>
          <t>少年白</t>
        </is>
      </c>
      <c r="H74" s="3"/>
      <c r="I74" s="3"/>
      <c r="J74" t="inlineStr">
        <is>
          <t>分享白举纲的单曲《装睡》: https://y.music.163.com/m/song?id=33187472&amp;userid=1316898734&amp;dlt=0846 (来自@网易云音乐)</t>
        </is>
      </c>
      <c r="K74"/>
      <c r="L74"/>
      <c r="M74" t="inlineStr">
        <is>
          <t>image.png</t>
        </is>
      </c>
      <c r="N74" t="inlineStr">
        <is>
          <t>原创</t>
        </is>
      </c>
      <c r="O74" s="3"/>
      <c r="P74"/>
      <c r="Q74" s="3"/>
      <c r="R74"/>
    </row>
    <row r="75" ht="25.5" customHeight="1">
      <c r="A75" t="inlineStr">
        <is>
          <t>Old Rock</t>
        </is>
      </c>
      <c r="B75" t="inlineStr">
        <is>
          <t>2015</t>
        </is>
      </c>
      <c r="C75" s="2">
        <v>42193</v>
      </c>
      <c r="D75" t="inlineStr">
        <is>
          <t>千篇一律的重复着昨天
在田字格里找自己的明天
做着守株待兔的美梦 多新鲜
敲着键盘 躺在怀念
说不来的时间
朝思暮想 做梦都想
时刻在想 想发光
抱头痛哭 耐不住凄凉
睡不醒的你 永远没方向
知不知道 爱做梦的你只会想
知不知道 爱抱怨的你只会讲
给梦一个方向 迎难而上
没有等出来的光
知不知道 有太多的梦没找到
知不知道 踏着泪也要继续跑
给梦一个方向 迎难而上
没有等出来的光
千篇一律的重复着昨天
在田字格里找自己的明天
做着守株待兔的美梦 多新鲜
敲着键盘 躺在怀念
说不来的时间
朝思暮想 做梦都想
时刻在想 想发光
抱头痛哭 耐不住凄凉
睡不醒的你 永远没方向
知不知道
爱做梦的你只会想
知不知道
爱抱怨的你只会讲
给梦一个方向 迎难而上
没有等出来的光
知不知道 有太多的梦没找到
知不知道 踏着泪也要继续跑
给梦一个方向 迎难而上
没有等出来的光</t>
        </is>
      </c>
      <c r="E75" t="inlineStr">
        <is>
          <t>作词 : 白举纲
作曲 : 白举纲</t>
        </is>
      </c>
      <c r="F75"/>
      <c r="G75" t="inlineStr">
        <is>
          <t>少年白</t>
        </is>
      </c>
      <c r="H75" s="3"/>
      <c r="I75" s="3"/>
      <c r="J75" t="inlineStr">
        <is>
          <t>分享白举纲的单曲《Old Rock》: https://163cn.tv/5AhOcju (来自@网易云音乐)</t>
        </is>
      </c>
      <c r="K75"/>
      <c r="L75"/>
      <c r="M75" t="inlineStr">
        <is>
          <t>image.png</t>
        </is>
      </c>
      <c r="N75" t="inlineStr">
        <is>
          <t>原创</t>
        </is>
      </c>
      <c r="O75" s="3"/>
      <c r="P75"/>
      <c r="Q75" s="3"/>
      <c r="R75"/>
    </row>
    <row r="76" ht="25.5" customHeight="1">
      <c r="A76" t="inlineStr">
        <is>
          <t>想说的话</t>
        </is>
      </c>
      <c r="B76" t="inlineStr">
        <is>
          <t>2015</t>
        </is>
      </c>
      <c r="C76" s="2">
        <v>42193</v>
      </c>
      <c r="D76" t="inlineStr">
        <is>
          <t>你在 迷雾降临的夜晚
一个人找寻方向
繁华城市的灯光
照不到 你要去的远方
想 迎接初升的太阳
但 眼里全是泪光
那些无端飘走的白云
像童心消磨在时光里
你站在 站台旁
眺望明天继续的希望
那么胆小 纵然没希望
请笑一笑 生活没那么糟
一个微笑 一个回忆
你一生都在梦里
不曾记起 不曾忘记
一半迷糊 一半珍惜
你一生还在继续 别忘奋力
别忘争鸣
枯落的树枝啊
再次生长发芽
继续载着你啊
为你照亮前方
碎纸堆起的塔
是你儿时的梦啊
还记得吗
它陪你长大
还记得吗 那时你笑得很傻
一个微笑 一个回忆
你一生都在梦里
不曾记起 不曾忘记
一半迷糊 一半珍惜
你一生还在继续
别忘奋力 别忘争鸣</t>
        </is>
      </c>
      <c r="E76" t="inlineStr">
        <is>
          <t>作词 : 白举纲
作曲 : 白举纲</t>
        </is>
      </c>
      <c r="F76" t="inlineStr">
        <is>
          <t>想说的话有很多，在还能对那个人说的时候说，你知道，他（她）在等着你说出口。</t>
        </is>
      </c>
      <c r="G76" t="inlineStr">
        <is>
          <t>少年白</t>
        </is>
      </c>
      <c r="H76" s="3"/>
      <c r="I76" s="3"/>
      <c r="J76" t="inlineStr">
        <is>
          <t>分享白举纲的单曲《想说的话》: https://y.music.163.com/m/song?id=33187475&amp;userid=1316898734&amp;dlt=0846 (来自@网易云音乐)</t>
        </is>
      </c>
      <c r="K76"/>
      <c r="L76"/>
      <c r="M76" t="inlineStr">
        <is>
          <t>image.png</t>
        </is>
      </c>
      <c r="N76" t="inlineStr">
        <is>
          <t>原创</t>
        </is>
      </c>
      <c r="O76" s="3"/>
      <c r="P76"/>
      <c r="Q76" s="3"/>
      <c r="R76"/>
    </row>
    <row r="77" ht="25.5" customHeight="1">
      <c r="A77" t="inlineStr">
        <is>
          <t>我都还没长大</t>
        </is>
      </c>
      <c r="B77" t="inlineStr">
        <is>
          <t>2015</t>
        </is>
      </c>
      <c r="C77" s="2">
        <v>42193</v>
      </c>
      <c r="D77" t="inlineStr">
        <is>
          <t>当我从你怀里学会走路
那时的我还不知辛苦
当我第一次感受幸福
你疲倦的脸上却笑得满足
当我为了挫折痛哭
是你的温柔让我永不认输
当我为了生活走我自己的路
带走了你的鼓舞
却没带走你的孤独
我都还没长大只是转眼间
你却花白了头发
我都还没长大就麻烦你
请多一点牵挂
在我最需要关怀的时候
总会看到熟悉的电话号码
每次离开你总说那几句话
好好工作吧
不要太想家
我都还没长大只是转眼间
你却花白了头发
我都还没长大只是皱纹让我
看不清你的脸庞
也许我还没长大
只怕你已是沧桑我却仍在天涯</t>
        </is>
      </c>
      <c r="E77" t="inlineStr">
        <is>
          <t>作词 : 白举纲
作曲 : 白举纲</t>
        </is>
      </c>
      <c r="F77"/>
      <c r="G77" t="inlineStr">
        <is>
          <t>少年白</t>
        </is>
      </c>
      <c r="H77" s="3"/>
      <c r="I77" s="3"/>
      <c r="J77" t="inlineStr">
        <is>
          <t>分享白举纲的单曲《我都还没长大》: https://y.music.163.com/m/song?id=33187476&amp;userid=1316898734&amp;dlt=0846 (来自@网易云音乐)</t>
        </is>
      </c>
      <c r="K77"/>
      <c r="L77"/>
      <c r="M77" t="inlineStr">
        <is>
          <t>image.png</t>
        </is>
      </c>
      <c r="N77" t="inlineStr">
        <is>
          <t>原创</t>
        </is>
      </c>
      <c r="O77" s="3"/>
      <c r="P77"/>
      <c r="Q77" s="3"/>
      <c r="R77"/>
    </row>
    <row r="78" ht="25.5" customHeight="1">
      <c r="A78" t="inlineStr">
        <is>
          <t>海贷青州</t>
        </is>
      </c>
      <c r="B78" t="inlineStr">
        <is>
          <t>2025</t>
        </is>
      </c>
      <c r="C78" s="2">
        <v>45737</v>
      </c>
      <c r="D78" t="inlineStr">
        <is>
          <t xml:space="preserve"> 三山五岳  宇宙八荒
 五湖四海  三江曲觞
 岂儒释道  独善万昌
 兼收并举  古国独芳
 河伯奔涌  炎黄亢亢
 屈原御江  华夏泱泱
 澜沧浩荡  国邦昌昌
 三江开源  文明彰彰
 天山瑶苍  珠峰琼祥
 昆仑玄黄  十维三方
 中华神州  一脉九扬
 大哉华夏  九域永昌
 混沌初开  天地分张
 四至安康
 娲羲合德  规矩立纲
 八极隆昌
 遂人取火  光照洪荒
 耀耀又煌煌
 神农稼穑  百谷盈仓
 华夏绵长
 河伯奔涌  炎黄亢亢
 屈原御江  华夏泱泱
 澜沧浩荡  国邦昌昌
 三江开源  文明彰彰
 天山瑶苍  珠峰琼祥
 昆仑玄黄  十维三方
 中华神州  一脉九扬
 大哉华夏  九域永昌
 混沌初开  天地分张
 四至安康
 娲羲合德  规矩立纲
 八极隆昌
 遂人取火  光照洪荒
 耀耀又煌煌
 神农稼穑  百谷盈仓
 华夏绵长
 轩辕铸鼎  德被万邦
 仓颉造字  文明昭彰</t>
        </is>
      </c>
      <c r="E78" t="inlineStr">
        <is>
          <t>作词: 蔡传庆
作曲: 白举纲</t>
        </is>
      </c>
      <c r="F78" t="inlineStr">
        <is>
          <t>在第五届中华诗人节《海岱青州》主题晚会上，著名年轻歌手白举纲演唱了由蔡传庆先生作词、白举纲谱曲制作的晚会主题曲《海岱青州》，引起了诗歌文化届的强烈反响！</t>
        </is>
      </c>
      <c r="G78" t="inlineStr">
        <is>
          <t>单曲</t>
        </is>
      </c>
      <c r="H78" s="3"/>
      <c r="I78" s="3"/>
      <c r="J78" t="inlineStr">
        <is>
          <t>分享白举纲的单曲《海岱青州（第五届中华诗人大会主题曲） (Live)》: https://y.music.163.com/m/song?id=2688775667&amp;userid=1316898734&amp;dlt=0846 (来自@网易云音乐)</t>
        </is>
      </c>
      <c r="K78"/>
      <c r="L78"/>
      <c r="M78" t="inlineStr">
        <is>
          <t>image.png</t>
        </is>
      </c>
      <c r="N78" t="inlineStr">
        <is>
          <t>作曲（合作创作）</t>
        </is>
      </c>
      <c r="O78" s="3"/>
      <c r="P78"/>
      <c r="Q78" s="3"/>
      <c r="R78"/>
    </row>
    <row r="79" ht="25.5" customHeight="1">
      <c r="A79" t="inlineStr">
        <is>
          <t>White Max</t>
        </is>
      </c>
      <c r="B79" t="inlineStr">
        <is>
          <t>2016</t>
        </is>
      </c>
      <c r="C79" s="2">
        <v>42607</v>
      </c>
      <c r="D79" t="inlineStr">
        <is>
          <t>White max
借颗不安分的心
继续升温未燃尽的勇气
镜花水月
如尘息
萦怀愁绪
愿做繁星
在背后罩着你
感谢你陪我前行
也许生活像橱窗
安稳背后藏着沮丧
I am sinking inside
U wanna take me back
Sinking inside
Like sea erodes my mind
This is time to go
This is time to go
Crazy I
Maybe I
This is time to go
This is time to go
Crazy I
Maybe I
White max
White max
I am sinking inside
U wanna take me back
Sinking inside
Like sea erodes my mind
This is time to go
This is time to go
Crazy I
Maybe I
This is time to go
This is time to go
Crazy I
Maybe I
嗡啊惹 巴扎纳德
嗡啊惹 巴扎纳德
嗡啊惹 巴扎纳德
嗡啊惹 巴扎纳德
嗡啊惹 巴扎纳德
嗡啊惹 巴扎纳德
Side
This is time to go
This is time to go
Crazy I
Maybe I
This is time to go
This is time to go
Crazy I
Maybe I
White max
White max</t>
        </is>
      </c>
      <c r="E79" t="inlineStr">
        <is>
          <t>作词 : 白举纲
作曲 : 白举纲</t>
        </is>
      </c>
      <c r="F79"/>
      <c r="G79" t="inlineStr">
        <is>
          <t>野草</t>
        </is>
      </c>
      <c r="H79" s="3" t="str">
        <f>=HYPERLINK("https://music.163.com/mv?id=5362849", "https://music.163.com/mv?id=5362849")</f>
        <v>https://music.163.com/mv?id=5362849</v>
      </c>
      <c r="I79" s="3"/>
      <c r="J79" t="inlineStr">
        <is>
          <t>分享白举纲的单曲《White Max》: https://163cn.tv/5AiIhVN (来自@网易云音乐)</t>
        </is>
      </c>
      <c r="K79"/>
      <c r="L79"/>
      <c r="M79" t="inlineStr">
        <is>
          <t>image.png</t>
        </is>
      </c>
      <c r="N79" t="inlineStr">
        <is>
          <t>原创</t>
        </is>
      </c>
      <c r="O79" s="3"/>
      <c r="P79"/>
      <c r="Q79" s="3"/>
      <c r="R79"/>
    </row>
    <row r="80" ht="25.5" customHeight="1">
      <c r="A80" t="inlineStr">
        <is>
          <t>Uno</t>
        </is>
      </c>
      <c r="B80" t="inlineStr">
        <is>
          <t>2016</t>
        </is>
      </c>
      <c r="C80" s="2">
        <v>42607</v>
      </c>
      <c r="D80" t="inlineStr">
        <is>
          <t>Goodbye the world
Thank you for all those happiness
You've brought to me
I won't forget won't forget
Those mistakes I made
What should I do if I feel sick
What should I do if I feel sick
Ready go take a deep breath
Don't take to hearted everything that you hear
Ready know always tell the truth
Oh you can hold on to yesterday already know
Hello my little space
Thank you for all those madness belongs to me
I don't care
I don't fear maybe I don't know who I am
What I can no matter what I can
Ready go take a deep breath
Don't take to hearted everything that you hear
Ready know always tell the truth
Oh you can hold on to yesterday already know
Oh oh oh I find a way to settle
Oh oh oh I find a way to battle
Oh oh oh never mind never hide
Never say goodbye never say goodbye
Ready go take a deep breath
Don't take to hearted everything that you hear
Ready know always tell the truth
Oh you can hold on to yesterday already know
Oh oh oh I find a way to settle
Oh oh oh I find a way to battle
Oh oh oh never mind never hide
Never say goodbye never say goodbye</t>
        </is>
      </c>
      <c r="E80" t="inlineStr">
        <is>
          <t>作词 : 白举纲
作曲 : 白举纲/Sara</t>
        </is>
      </c>
      <c r="F80"/>
      <c r="G80" t="inlineStr">
        <is>
          <t>野草</t>
        </is>
      </c>
      <c r="H80" s="3" t="str">
        <f>=HYPERLINK("https://music.163.com/mv?id=5741344&amp;uct2=U2FsdGVkX1+Zbk3l24OXnYhHMLSrxhD4vRgAUr7q9Nw=", "https://music.163.com/mv?id=5741344&amp;uct2=U2FsdGVkX1+Zbk3l24OXnYhHMLSrxhD4vRgAUr7q9Nw=")</f>
        <v>https://music.163.com/mv?id=5741344&amp;uct2=U2FsdGVkX1+Zbk3l24OXnYhHMLSrxhD4vRgAUr7q9Nw=</v>
      </c>
      <c r="I80" s="3"/>
      <c r="J80" t="inlineStr">
        <is>
          <t>分享白举纲的单曲《Uno》: https://163cn.tv/5AinnbR (来自@网易云音乐)</t>
        </is>
      </c>
      <c r="K80"/>
      <c r="L80"/>
      <c r="M80" t="inlineStr">
        <is>
          <t>image.png</t>
        </is>
      </c>
      <c r="N80" t="inlineStr">
        <is>
          <t>原创</t>
        </is>
      </c>
      <c r="O80" s="3"/>
      <c r="P80"/>
      <c r="Q80" s="3"/>
      <c r="R80"/>
    </row>
    <row r="81" ht="25.5" customHeight="1">
      <c r="A81" t="inlineStr">
        <is>
          <t>燎原</t>
        </is>
      </c>
      <c r="B81" t="inlineStr">
        <is>
          <t>2016</t>
        </is>
      </c>
      <c r="C81" s="2">
        <v>42607</v>
      </c>
      <c r="D81" t="inlineStr">
        <is>
          <t>想了断命运的风帆
沉沦在风浪的平坦
还渴望拥有五彩斑斓
为自己仅存的温暖而战
那些摊开的水花
散了些年华
多了些笑话
是否飞得太远啦
挥霍的泪花
也随风逝了吧
或许我 不该做
抛之脑后的沉默
要怎么才能剥夺
摇摆不定的规则
有时我 想逃脱
灯火阑珊的坎坷
总会有停靠角落
离心最近的王国
想了断命运的风帆
沉沦在风浪的平坦
还渴望拥有五彩斑斓
为自己仅存的温暖而战
走不出的理想生活
但这意外总是来的太多
无法用力改变什么
哪还有那么多话要说
疲于奔命为什么
暗淡笑容为什么
收好被嘲笑的眼泪
留着净土重回旷野
或许我 不该做
抛之脑后的沉默
要怎么才能剥夺
摇摆不定的规则
有时我 想逃脱
灯火阑珊的坎坷
总会有停靠角落
离心最近的王国
有时我 想逃脱
灯火阑珊的坎坷
总会有停靠角落
离心最近的王国
或许我 不该做
抛之脑后的沉默
要怎么才能剥夺
摇摆不定的规则
有时我 想逃脱
灯火阑珊的坎坷
总会有停靠角落
离心最近的王国</t>
        </is>
      </c>
      <c r="E81" t="inlineStr">
        <is>
          <t>作词 : 白举纲
作曲 : 白举纲</t>
        </is>
      </c>
      <c r="F81"/>
      <c r="G81" t="inlineStr">
        <is>
          <t>野草</t>
        </is>
      </c>
      <c r="H81" s="3" t="str">
        <f>=HYPERLINK("https://music.163.com/mv?id=5362851", "https://music.163.com/mv?id=5362851")</f>
        <v>https://music.163.com/mv?id=5362851</v>
      </c>
      <c r="I81" s="3"/>
      <c r="J81" t="inlineStr">
        <is>
          <t>分享白举纲的单曲《燎原》: https://163cn.tv/5Ah6y4l (来自@网易云音乐)</t>
        </is>
      </c>
      <c r="K81"/>
      <c r="L81"/>
      <c r="M81" t="inlineStr">
        <is>
          <t>image.png</t>
        </is>
      </c>
      <c r="N81" t="inlineStr">
        <is>
          <t>原创</t>
        </is>
      </c>
      <c r="O81" s="3"/>
      <c r="P81"/>
      <c r="Q81" s="3"/>
      <c r="R81"/>
    </row>
    <row r="82" ht="25.5" customHeight="1">
      <c r="A82" t="inlineStr">
        <is>
          <t>无恙</t>
        </is>
      </c>
      <c r="B82" t="inlineStr">
        <is>
          <t>2016</t>
        </is>
      </c>
      <c r="C82" s="2">
        <v>42607</v>
      </c>
      <c r="D82" t="inlineStr">
        <is>
          <t>埋头的时光显得有些长纠结失望
空白的纸张你帮我写上岁月无恙
想留着退去的海浪走的太匆忙
走的太匆忙带不走寒凉
风或暖或伤有你在身旁
有你在身旁如醇酒芬芳
不像那雪花一碰就融化飘散远方
谢谢你愿做风流浪
吹散雨雾霜似火生长
有你陪我落泪一起笑一起追
哪怕犯再多错我不后悔
路途风景很美无论残缺完美
谢谢你无法替代的堡垒
空白的纸张你帮我画上点点星光
曾以为这生活无色无味
有你陪我体会
一句话一首诗足够回味还好
有你陪我落泪一起笑一起追
哪怕犯再多错我不后悔
路途风景很美无论残缺完美
谢谢你无法替代的堡垒
我愿做绿叶随风陪你飞
到世界尽头你我不会累
不像那雪花一碰就融化
谢谢你愿做风流浪
吹散雨雾霜似火生长
有你陪我落泪一起笑一起追
哪怕犯再多错我不后悔
路途风景很美无论残缺完美
谢谢你无法替代的堡垒
我愿做绿叶随风陪你飞
到世界尽头你我不会累</t>
        </is>
      </c>
      <c r="E82" t="inlineStr">
        <is>
          <t>作词 : 白举纲
作曲 : 白举纲</t>
        </is>
      </c>
      <c r="F82" t="inlineStr">
        <is>
          <t>《无恙》写的不仅是友情，不仅能听到我的声音。《三季》唯一一首同期录制的歌，一遍过，想做成晚安曲，就是不喜欢冬天，就是想给夏天写情书《失联》太多的已经失去了，已经再也见不到，但他们带来的温度一直都在。
嘿～谢谢你，愿做绿叶随风陪我去到远方；谢谢你，不像雪花一碰就融化；谢谢你，愿做风流浪，吹散雨雾霜。嘿，永远年轻，岁月无恙～
毛孩子们🐶🐱
他们不会有太多情感的寄托，但一定把你当作他们最重要的家人；他们不能用人类的语言和我们沟通，但在感受到你的情绪后总能用他们的方式来温暖你；他们没有比我们更多的时间，但会用尽其一生陪伴在你身边。
这首《无恙》是我在16年看完很多狗狗的视频写下的，这是一首关于陪伴的歌。
陪伴的时间有长短，但陪伴的温度没有。
这也一定会在我们的生活中留下一抹属于他们的色彩，专属于他们温度的颜色。</t>
        </is>
      </c>
      <c r="G82" t="inlineStr">
        <is>
          <t>野草</t>
        </is>
      </c>
      <c r="H82" s="3" t="str">
        <f>=HYPERLINK("https://music.163.com/mv?id=5741357", "https://music.163.com/mv?id=5741357")</f>
        <v>https://music.163.com/mv?id=5741357</v>
      </c>
      <c r="I82" s="3" t="str">
        <f>=HYPERLINK("https://www.bilibili.com/video/BV1ax411E7q4/?p=4&amp;share_source=copy_web&amp;vd_source=9a6bf3f0546e45af2384d1aa9db5309b", "https://www.bilibili.com/video/BV1ax411E7q4/?p=4&amp;share_source=copy_web&amp;vd_source=9a6bf3f0546e45af2384d1aa9db5309b")</f>
        <v>https://www.bilibili.com/video/BV1ax411E7q4/?p=4&amp;share_source=copy_web&amp;vd_source=9a6bf3f0546e45af2384d1aa9db5309b</v>
      </c>
      <c r="J82" t="inlineStr">
        <is>
          <t>分享白举纲的单曲《无恙》: https://163cn.tv/5AinO5z (来自@网易云音乐)</t>
        </is>
      </c>
      <c r="K82" t="inlineStr">
        <is>
          <t xml:space="preserve">http://weibo.com/p/10151501_100390128 </t>
        </is>
      </c>
      <c r="L82"/>
      <c r="M82" t="inlineStr">
        <is>
          <t>image.png,image.png</t>
        </is>
      </c>
      <c r="N82" t="inlineStr">
        <is>
          <t>原创</t>
        </is>
      </c>
      <c r="O82" s="3"/>
      <c r="P82"/>
      <c r="Q82" s="3"/>
      <c r="R82"/>
    </row>
    <row r="83" ht="25.5" customHeight="1">
      <c r="A83" t="inlineStr">
        <is>
          <t>我们</t>
        </is>
      </c>
      <c r="B83" t="inlineStr">
        <is>
          <t>2016</t>
        </is>
      </c>
      <c r="C83" s="2">
        <v>42607</v>
      </c>
      <c r="D83" t="inlineStr">
        <is>
          <t>让我先沉默
安静面对世界的震耳欲聋
试着感受藏的最深那个梦
等着命运投出最后一个球
曾经的我站在 我的背后
在陌生的时刻
看见出发的我
他追垒 他摔碎 从没离开过
不想做看客
面无表情的走过
不知道 哪一个 真正的活着
谁 还在追 背弃的美
热血天真的小鬼
我永不会往后退 忘了他是谁
不必期待 汹涌的人海
不必明白 多少还在开
没什么阻碍 没那么困难
不必遮盖 未好的伤害
不必感慨 多少还没来
和那个小孩 到最后一站
嘿 别理会 永远无畏
没什么能将你击退
赤裸着脚 跑在被束缚的夜
冲到竭尽后
只为他当初做过的一个梦
我会为他拼到最后一分钟
那些无人知晓的伤也光荣
不必期待 汹涌的人海
不必明白 多少还在开
没什么阻碍 没那么困难
不必遮盖 未好的伤害
不必感慨 多少还没来
和那个小孩 到最后一站</t>
        </is>
      </c>
      <c r="E83" t="inlineStr">
        <is>
          <t>作词 : 白举纲
作曲 : 白举纲</t>
        </is>
      </c>
      <c r="F83"/>
      <c r="G83" t="inlineStr">
        <is>
          <t>野草</t>
        </is>
      </c>
      <c r="H83" s="3" t="str">
        <f>=HYPERLINK("https://music.163.com/mv?id=5362850", "https://music.163.com/mv?id=5362850")</f>
        <v>https://music.163.com/mv?id=5362850</v>
      </c>
      <c r="I83" s="3"/>
      <c r="J83" t="inlineStr">
        <is>
          <t>分享白举纲的单曲《我们》: https://163cn.tv/5AhRWmo (来自@网易云音乐)</t>
        </is>
      </c>
      <c r="K83"/>
      <c r="L83"/>
      <c r="M83" t="inlineStr">
        <is>
          <t>image.png</t>
        </is>
      </c>
      <c r="N83" t="inlineStr">
        <is>
          <t>原创</t>
        </is>
      </c>
      <c r="O83" s="3"/>
      <c r="P83"/>
      <c r="Q83" s="3"/>
      <c r="R83"/>
    </row>
    <row r="84" ht="25.5" customHeight="1">
      <c r="A84" t="inlineStr">
        <is>
          <t>三季</t>
        </is>
      </c>
      <c r="B84" t="inlineStr">
        <is>
          <t>2016</t>
        </is>
      </c>
      <c r="C84" s="2">
        <v>42607</v>
      </c>
      <c r="D84" t="inlineStr">
        <is>
          <t>落叶作的画像沙
埋住了惆怅留下了谎
这谎会发芽长啊
没过晚霞没过你啊
染绿的春光梦啊
醉人的香
含苞欲放
唱歌的树啊发光
温暖如她
她漫舞如花
想要死在你怀里
把人生耗尽
交织在这旋律
带我到海底
看不见不想看见
顺着雨水到谷底
陷在背影里
背影里绿树成荫
却感到窒息
没呼吸不能呼吸
沸腾的土壤
我想或许疯狂
或许奔放
她总对我讲
别忘忘了幻想
忘了去生长
想要死在你怀里
把人生耗尽
交织在这旋律带我到海底
看不见不想看见
顺着雨水到谷底
陷在背影里
背影里绿树成荫
却感到窒息
没呼吸不想呼吸</t>
        </is>
      </c>
      <c r="E84" t="inlineStr">
        <is>
          <t>作词 : 白举纲
作曲 : 白举纲</t>
        </is>
      </c>
      <c r="F84" t="inlineStr">
        <is>
          <t>《三季》唯一一首同期录制的歌，一遍过，想做成晚安曲，就是不喜欢冬天，就是想给夏天写情书</t>
        </is>
      </c>
      <c r="G84" t="inlineStr">
        <is>
          <t>野草</t>
        </is>
      </c>
      <c r="H84" s="3" t="str">
        <f>=HYPERLINK("https://music.163.com/mv?id=5741351", "https://music.163.com/mv?id=5741351")</f>
        <v>https://music.163.com/mv?id=5741351</v>
      </c>
      <c r="I84" s="3"/>
      <c r="J84" t="inlineStr">
        <is>
          <t>分享白举纲的单曲《三季》: https://163cn.tv/5AhVYqp (来自@网易云音乐)</t>
        </is>
      </c>
      <c r="K84"/>
      <c r="L84"/>
      <c r="M84" t="inlineStr">
        <is>
          <t>image.png</t>
        </is>
      </c>
      <c r="N84" t="inlineStr">
        <is>
          <t>原创</t>
        </is>
      </c>
      <c r="O84" s="3"/>
      <c r="P84"/>
      <c r="Q84" s="3"/>
      <c r="R84"/>
    </row>
    <row r="85" ht="25.5" customHeight="1">
      <c r="A85" t="inlineStr">
        <is>
          <t>失联</t>
        </is>
      </c>
      <c r="B85" t="inlineStr">
        <is>
          <t>2016</t>
        </is>
      </c>
      <c r="C85" s="2">
        <v>42607</v>
      </c>
      <c r="D85" t="inlineStr">
        <is>
          <t>还能听到吗
最灿烂的笑啊
好想把她种下
再生长发芽
还能听到吗
最灿烂的笑啊
好想把她种下
再生长发芽</t>
        </is>
      </c>
      <c r="E85" t="inlineStr">
        <is>
          <t>作词 : 白举纲
作曲 : 白举纲</t>
        </is>
      </c>
      <c r="F85" t="inlineStr">
        <is>
          <t>《失联》太多的已经失去了，已经再也见不到，但他们带来的温度一直都在。</t>
        </is>
      </c>
      <c r="G85" t="inlineStr">
        <is>
          <t>野草</t>
        </is>
      </c>
      <c r="H85" s="3" t="str">
        <f>=HYPERLINK("https://music.163.com/mv?id=5741354", "https://music.163.com/mv?id=5741354")</f>
        <v>https://music.163.com/mv?id=5741354</v>
      </c>
      <c r="I85" s="3"/>
      <c r="J85" t="inlineStr">
        <is>
          <t>分享白举纲的单曲《失联》: https://163cn.tv/5Ah4ytK (来自@网易云音乐)</t>
        </is>
      </c>
      <c r="K85"/>
      <c r="L85"/>
      <c r="M85" t="inlineStr">
        <is>
          <t>image.png</t>
        </is>
      </c>
      <c r="N85" t="inlineStr">
        <is>
          <t>原创</t>
        </is>
      </c>
      <c r="O85" s="3"/>
      <c r="P85"/>
      <c r="Q85" s="3"/>
      <c r="R85"/>
    </row>
    <row r="86" ht="25.5" customHeight="1">
      <c r="A86" t="inlineStr">
        <is>
          <t>Happy Ending</t>
        </is>
      </c>
      <c r="B86" t="inlineStr">
        <is>
          <t>2016</t>
        </is>
      </c>
      <c r="C86" s="2">
        <v>42607</v>
      </c>
      <c r="D86" t="inlineStr">
        <is>
          <t>Listen careful if I got you everything
I did all for you
Now I rescue my mind to show the little me
In the big world
One Hey U come release my soul
Two Yea Me see the sun rise slow
Three Burning ridiculous dream
Four But I can't take it all to another world
Tell me life is not a memory
That's enough for u enough for me
Stop waiting for obey your yearnings
Help me call me when I'm falling drop me
Through the rain into your dream
Now I get it all a happy ending
Whatever they said stand by my side all the time is passing by
What I did wrong not in my song forgive me and listen to me
One Hey U come release my soul
Two Yea Me see the sun rise slow
Three Burning ridiculous dream
Four But I can't take it all to another world
Tell me life is not a memory
That's enough for u enough for me
Stop waiting for obey your yearnings
Help me call me when I'm falling drop me
Through the rain into your dream
Now I get it all a happy ending
Tell me life is not a memory
That's enough for u enough for me
Stop waiting for obey your yearnings
Tell me life is not a memory
That's enough for u enough for me
Stop waiting for obey your yearnings
Help me call me when I'm falling drop me
Through the rain into your dream
Now I get it all a happy ending
Help me call me when I'm falling drop me
Through the rain into your dream</t>
        </is>
      </c>
      <c r="E86" t="inlineStr">
        <is>
          <t>作词 : 白举纲
作曲 : 白举纲</t>
        </is>
      </c>
      <c r="F86"/>
      <c r="G86" t="inlineStr">
        <is>
          <t>野草</t>
        </is>
      </c>
      <c r="H86" s="3" t="str">
        <f>=HYPERLINK("https://music.163.com/mv?id=5741343", "https://music.163.com/mv?id=5741343")</f>
        <v>https://music.163.com/mv?id=5741343</v>
      </c>
      <c r="I86" s="3"/>
      <c r="J86" t="inlineStr">
        <is>
          <t>分享白举纲的单曲《Happy Ending》: https://163cn.tv/5AhA2b6 (来自@网易云音乐)</t>
        </is>
      </c>
      <c r="K86"/>
      <c r="L86"/>
      <c r="M86" t="inlineStr">
        <is>
          <t>image.png,image.png</t>
        </is>
      </c>
      <c r="N86" t="inlineStr">
        <is>
          <t>原创</t>
        </is>
      </c>
      <c r="O86" s="3"/>
      <c r="P86"/>
      <c r="Q86" s="3"/>
      <c r="R86"/>
    </row>
    <row r="87" ht="25.5" customHeight="1">
      <c r="A87" t="inlineStr">
        <is>
          <t xml:space="preserve">SPEAK UP (《银魂》电影推广曲) </t>
        </is>
      </c>
      <c r="B87" t="inlineStr">
        <is>
          <t>2023</t>
        </is>
      </c>
      <c r="C87" s="2">
        <v>45045</v>
      </c>
      <c r="D87" t="inlineStr">
        <is>
          <t>恐惧在心里作祟
现实又和你作对
痛过后愈合的伤
饱含着希望
听够了一切的谎
看透了所有假象
站在我背后的光
让我变更强
谁在嘶吼
是硝烟里披上战旗的野兽
英雄无朽
只为仰望的星空
谁在等候
无谓结局会失败或是平庸
绝不低头
Speak up
Walking a tight rope
Talk and you might choke
Hope somebody else can take the blame
Speak up
Even if you don't know
Say if you think so
Woooo
Speak up
Walking on eggshells
Don't wanna catch hell
Someones always tryna stain your name
Speak up
Even if you don't know
Say if you think so
You're the one who's gonna bring the change
Speak up
像极了 地狱里来的困兽
为我的一切守候
世间已将我抛弃
留下些虚情 真意被判刑
历经了太多的痛
分不清你我的梦
永不熄灭的火种
承载我一意孤行且无惧无畏的冲动
谁在嘶吼
是硝烟里披上战旗的野兽
英雄无朽
只为仰望的星空
谁在等候
无谓结局会失败或是平庸
绝不低头
Speak up
Walking a tight rope
Talk and you might choke
Hope somebody else can take the blame
Speak up
Even if you don't know
Say if you think so
Woooo
Speak up
Walking on eggshells
Don't wanna catch hell
Someones always tryna stain your name
Speak up
Even if you don't know
Say if you think so
You're the one who's gonna bring the change
Speak up
Speak up
Walking a tight rope
Talk and you might choke
Hope somebody else can take the blame
Speak up
Even if you don't know
Say if you think so
Woooo
Speak up
Walking on eggshells
Don't wanna catch hell
Someones always tryna stain your name
Speak up
Even if you don't know
Say if you think so
You're the one who's gonna bring the change
Speak up</t>
        </is>
      </c>
      <c r="E87" t="inlineStr">
        <is>
          <t>
词：AG/陈袁/白举纲
曲：HIDE
编曲：NOISEMAKER
制作人：NOISEMAKER
项目统筹：刘晓倩
混音：SCHAT１０
母带：Zane（赞恩）@Vintage Age Studio
SP：Negia Entertainment Co., Ltd</t>
        </is>
      </c>
      <c r="F87"/>
      <c r="G87" t="inlineStr">
        <is>
          <t>原声带</t>
        </is>
      </c>
      <c r="H87" s="3"/>
      <c r="I87" s="3"/>
      <c r="J87" t="inlineStr">
        <is>
          <t>白举纲《SPEAK UP》https://c6.y.qq.com/base/fcgi-bin/u?__=2MOn7DLOMs3X @QQ音乐</t>
        </is>
      </c>
      <c r="K87"/>
      <c r="L87"/>
      <c r="M87" t="inlineStr">
        <is>
          <t>image.png</t>
        </is>
      </c>
      <c r="N87" t="inlineStr">
        <is>
          <t>作词（合作创作）</t>
        </is>
      </c>
      <c r="O87" s="3"/>
      <c r="P87"/>
      <c r="Q87" s="3"/>
      <c r="R87"/>
    </row>
    <row r="88" ht="25.5" customHeight="1">
      <c r="A88" t="inlineStr">
        <is>
          <t>·当</t>
        </is>
      </c>
      <c r="B88" t="inlineStr">
        <is>
          <t>2019</t>
        </is>
      </c>
      <c r="C88" s="2">
        <v>43602</v>
      </c>
      <c r="D88" t="inlineStr">
        <is>
          <t>你在契约前写下尊严和执念
锁在箱里面换来命运和从前
买来新的表面显得贵一点
说话时注意姿态板着脸
买来新的对岸睡得安稳点
叫自己醒来的渐行渐远
活得越久皮囊越厚反正看不透
标准面孔统一笑容换掉也没用
当你的美梦换好酒
喝几杯借口醉成了理由
当你的骨头换富有
刻下几个痛笑着脸泪流
终于到天明路途宽坦却贫瘠
我知道的你也在奋力向前进
或许有些困境或许一身泥
也浇不灭那颗炙热的心
温度握在手心带着入梦境
总会温暖那个发光的你
攒够伤口当掉作祟的虚伪小丑
当你的美梦换好酒
喝几杯借口醉成了理由
当你的骨头换富有
刻下几个痛笑着脸泪流
伤口越是清醒越是痛
当你的奢求换你的梦
活得越久皮囊越厚反正看不透
标准面孔统一笑容换掉也没用
当你的美梦换好酒
喝几杯借口醉成了理由
当你的骨头换富有
刻下几个痛笑着脸泪流
伤口越是清醒越是痛
当你的所有换你的梦
</t>
        </is>
      </c>
      <c r="E88" t="inlineStr">
        <is>
          <t>作词：白举纲
作曲：白举纲
编曲：郭小峰&amp;郑仕伟&amp;白举纲
吉他：郑仕伟&amp;郭小峰
调音师：蒋博文
音乐总监：谭伊哲@TYZ
混音：林梦洋
TYZ乐队：
乐队队长&amp;吉他：黄竣琮@TYZ
TYZ音乐统筹：修卓辰@TYZ
吉他：Mike McLaughlin  
贝斯：Ryan Bradetich
键盘：韩天赫&amp;Roksana
鼓：Gabriel Cornelius
打击乐：胡瑀轩
和声：梁古驰&amp;王思思&amp;王若卉
Program: 齐文涛</t>
        </is>
      </c>
      <c r="F88" t="inlineStr">
        <is>
          <t>这首是有史以来最着急的一首，但这种感:觉还是好舒服的~段时间的潜能激发!这期"刀砍水"以失败告终!听石头哥的，多喝水</t>
        </is>
      </c>
      <c r="G88" t="inlineStr">
        <is>
          <t>单曲</t>
        </is>
      </c>
      <c r="H88" s="3"/>
      <c r="I88" s="3"/>
      <c r="J88" t="inlineStr">
        <is>
          <t>分享白举纲的单曲《•当 (Live)》: https://y.music.163.com/m/song?id=1370886447&amp;userid=1316898734&amp;dlt=0846 (来自@网易云音乐)</t>
        </is>
      </c>
      <c r="K88"/>
      <c r="L88"/>
      <c r="M88" t="inlineStr">
        <is>
          <t>image.png</t>
        </is>
      </c>
      <c r="N88" t="inlineStr">
        <is>
          <t>原创</t>
        </is>
      </c>
      <c r="O88" s="3"/>
      <c r="P88"/>
      <c r="Q88" s="3"/>
      <c r="R88"/>
    </row>
    <row r="89" ht="25.5" customHeight="1">
      <c r="A89" t="inlineStr">
        <is>
          <t>巧手世界
真人秀《巧手神探》推广曲</t>
        </is>
      </c>
      <c r="B89" t="inlineStr">
        <is>
          <t>2020</t>
        </is>
      </c>
      <c r="C89" s="2">
        <v>43953</v>
      </c>
      <c r="D89" t="inlineStr">
        <is>
          <t>双手创造的星球，化作羽翼能自由的享受； 闭眼刺彩色缎绣，远不现近观才有的悸动； 铺平素色纸底，阔江海坐起山川留空； 粗料细笔勾勒，余温淡润宣色； 慧心巧手的思绪，装点着世界的美丽； 琢磨不透的星星，等待你我发现定律。 别辩着是非对错，井底观望的天空没海阔； 品百般精巧手作，远足现近观皆有的悸动； 铺平素色纸底，阔江海坐起山川留空； 粗料细笔勾勒，余温淡润宣色； 慧心巧手的思绪，装点着世界的美丽； 琢磨不透的星星，等待你我发现定律。 Handmade in China Handmade in China Handmade in China Handmade in China 慧心巧手的思绪，装点着世界的美丽； 琢磨不透的星星，等待你我发现定律。 Handmade in China Handmade in China Handmade in China Handmade in China Handmade in China
</t>
        </is>
      </c>
      <c r="E89" t="inlineStr">
        <is>
          <t>作词: pp
作曲: 白举纲
编曲: 张星/白举纲
制作人: 白举纲/郭峻江</t>
        </is>
      </c>
      <c r="F89"/>
      <c r="G89" t="inlineStr">
        <is>
          <t>原声带</t>
        </is>
      </c>
      <c r="H89" s="3"/>
      <c r="I89" s="3"/>
      <c r="J89" t="inlineStr">
        <is>
          <t>https://163cn.tv/20Av8id</t>
        </is>
      </c>
      <c r="K89"/>
      <c r="L89"/>
      <c r="M89" t="inlineStr">
        <is>
          <t>image.png</t>
        </is>
      </c>
      <c r="N89" t="inlineStr">
        <is>
          <t>作曲（合作创作）</t>
        </is>
      </c>
      <c r="O89" s="3"/>
      <c r="P89"/>
      <c r="Q89" s="3"/>
      <c r="R89"/>
    </row>
    <row r="90" ht="25.5" customHeight="1">
      <c r="A90" t="inlineStr">
        <is>
          <t>神灯说你话太多</t>
        </is>
      </c>
      <c r="B90" t="inlineStr">
        <is>
          <t>2020</t>
        </is>
      </c>
      <c r="C90" s="2">
        <v>44046</v>
      </c>
      <c r="D90" t="inlineStr">
        <is>
          <t>神灯说你话太多
许个愿婆婆妈妈
啰啰嗦嗦
嘎嘎gīgī
讲什么不懂
心思有够重
能力较普通
神灯说你话太多
别学得婆婆妈妈
啰啰嗦嗦
嘎嘎gīgī
讲什么不懂
别做一场梦
到头一场空
怕是一阵风
运气好跃过沙漠
在洞口左右斟酌
不停思索
祈祷结果
别差太多
会如你所愿的
驻足于金山银坡
两眼泛着光难以闭合
一刻也不想错过
忽然神灯闪烁
还愣着做什么
美梦愿望有很多
请您聆听我诉说
神灯说你话太多
许个愿婆婆妈妈
啰啰嗦嗦
嘎嘎gīgī
讲什么不懂
心思有够重
能力较普通
神灯说你话太多
别学得婆婆妈妈
啰啰嗦嗦
嘎嘎gīgī
讲什么不懂
别做一场梦
到头一场空
怕是一阵风
愿望就三个
愿望就三个
愿望就三个
想好了再说
一绝对富有
让你绝对富有
让你绝对富有
二大权在握
让你大权在握
让你大权在握
三绝不给你自由
绝不给你自由
绝不给你自由
绝不给你自由
我绝不 我绝不
我绝不给你
神灯说你话太多
别学得婆婆妈妈
啰啰嗦嗦
嘎嘎gīgī
讲什么不懂
别做一场梦
到头一场空</t>
        </is>
      </c>
      <c r="E90" t="inlineStr">
        <is>
          <t>词：斯克派
曲：斯克派
编曲：白日梦症候群
吉他：张宇煊/张星
贝斯：张星
鼓：殷之豪
混音：Rhys May
母带：Ted Jensen
发行：梦织音
OP：奥夫可尔斯(北京)文化传媒有限公司
SP：北京梦织音传媒有限公司</t>
        </is>
      </c>
      <c r="F90" t="inlineStr">
        <is>
          <t>白日梦症候群——第一梦境“贪婪”《神灯说你话太多》
如果有神灯你会许什么愿望？
第一个愿望绝对富有
第二个愿望大权在握”
第三个愿望绝不给你自由
在开篇的带有些许异域风情的纯音乐intro中白日梦境开始，这首歌并没有采用常规的歌曲制作的方式，而是做了七到八个段落，用这种做的方式将编曲做了故事性的编排，和歌词一起融会贯通，贯穿始终在这首歌当中。用带些黑色幽默、戏谑又带一些趣味的词句展开第一梦境“贪婪”。
假如真的有神灯你能关的住“贪婪”吗？想要的太多，想说的太多，愿望太多，面对神灯的诱惑又说不清道不明，心思有够重，能力较普通。连神灯都说你想的太多、你说的太多、却做的太少。对于一个经不起诱惑人来说，在歌曲结尾滴答滴答的梦醒后，在被梦境和现实击中后，一段没有鼓点、只有吉他和人声的“神灯说你话太多，别学得婆婆妈妈，啰啰嗦嗦，嘎嘎gīgī，讲什么不懂，别做一场梦，到头一场空”又让人怀疑这个神灯梦真的醒来了吗？
白日梦症候群作为一个前卫、融合、重型的摇滚乐队，这首歌也是一个完全融合类型的摇滚歌曲。从音乐最开始是用到了古典吉他的演奏方法，融入了一些trap的电子元素在里面，又用到了西塔琴（印度乐器）、1:20之后加入303和Brass元素的段落，又是将这首歌的情景转换到了工业科幻的感觉，将这些元素用电影配乐的编配方法巧妙融汇。
最后愿你如愿以求，
但要自食其果。</t>
        </is>
      </c>
      <c r="G90" t="inlineStr">
        <is>
          <t>白日梦症候群</t>
        </is>
      </c>
      <c r="H90" s="3" t="str">
        <f>=HYPERLINK("https://video.weibo.com/show?fid=1034:4545057186054163", "https://video.weibo.com/show?fid=1034:4545057186054163")</f>
        <v>https://video.weibo.com/show?fid=1034:4545057186054163</v>
      </c>
      <c r="I90" s="3"/>
      <c r="J90" t="inlineStr">
        <is>
          <t>分享白日梦症候群的单曲《神灯说你话太多》https://m.kugou.com/share/song.html?chain=7UXR926G0V2 （@酷狗音乐）</t>
        </is>
      </c>
      <c r="K90"/>
      <c r="L90"/>
      <c r="M90" t="inlineStr">
        <is>
          <t>image.png</t>
        </is>
      </c>
      <c r="N90" t="inlineStr">
        <is>
          <t>原创</t>
        </is>
      </c>
      <c r="O90" s="3"/>
      <c r="P90"/>
      <c r="Q90" s="3"/>
      <c r="R90"/>
    </row>
    <row r="91" ht="25.5" customHeight="1">
      <c r="A91" t="inlineStr">
        <is>
          <t>黎明重生（《第一序列》片头曲）</t>
        </is>
      </c>
      <c r="B91" t="inlineStr">
        <is>
          <t>2023</t>
        </is>
      </c>
      <c r="C91" s="2">
        <v>45126</v>
      </c>
      <c r="D91" t="inlineStr">
        <is>
          <t>壁垒冲破叠嶂 拔地而起
 肆意的纵横
 披星执剑欲血的求生
 苏醒冰封的裂痕
 无尽的痛
 冰冷的风
 吞噬沉睡的梦
 迷失在黑夜中
 历经会有破洞
 命运的锁
 燃烧的火
 刺破黑暗牢笼
 投来刺眼的光
 是盔甲的号召
 听到世人呼声雀起
 永不言弃的你
 渴望再次见到你
 剑拔弩张时的你
 挥洒尽致淋漓
 一路披荊斩棘
 不畏惧
 镌刻永恒的传奇
 烈火之后涅槃般重生
 镌刻的永恒
 披星执剑欲血的求生
 苏醒冰封的裂痕
 黎明停下步伐
 混沌即刻爆发
 听到世人呼声雀起
 永不言弃的你
 渴望再次见到你
 剑拔弩张时的你
 挥洒尽致淋漓
 一路披荊斩棘
 不畏惧
 镌刻永恒的传奇
 无尽的痛
 冰冷的风
 吞噬沉睡的梦
 迷失在黑夜中
 历经会有破洞
 命运的锁
 燃烧的火
 刺破黑暗牢笼
 投来刺眼的光
 是盔甲的号召
 听到世人呼声雀起
 永不言弃的你
 渴望再次见到你
 剑拔弩张时的你
 挥洒尽致淋漓
 一路披荊斩棘
 不畏惧
 镌刻永恒的传奇
</t>
        </is>
      </c>
      <c r="E91" t="inlineStr">
        <is>
          <t>作词: 吴玲玲
作曲: 白举纲 吴玲玲
编曲: 郭小峰
 录音: 郑仕伟
吉他: 郭小峰 / 郑仕伟
贝斯: 郭小峰 / 郑仕伟
鼓: 殷之豪
混音: 李游
母带: 李游
监制: 罐头
音乐总监: 潇娘
出品: bilibili 腾讯动漫</t>
        </is>
      </c>
      <c r="F91"/>
      <c r="G91" t="inlineStr">
        <is>
          <t>原声带</t>
        </is>
      </c>
      <c r="H91" s="3"/>
      <c r="I91" s="3"/>
      <c r="J91" t="inlineStr">
        <is>
          <t>分享白举纲的单曲《黎明重生 (《第一序列》动画片头曲)》: https://y.music.163.com/m/song?id=2064560973&amp;userid=1316898734&amp;dlt=0846 (来自@网易云音乐)</t>
        </is>
      </c>
      <c r="K91"/>
      <c r="L91"/>
      <c r="M91" t="inlineStr">
        <is>
          <t>image.png</t>
        </is>
      </c>
      <c r="N91" t="inlineStr">
        <is>
          <t>作曲（合作创作）</t>
        </is>
      </c>
      <c r="O91" s="3"/>
      <c r="P91"/>
      <c r="Q91" s="3"/>
      <c r="R91"/>
    </row>
    <row r="92" ht="25.5" customHeight="1">
      <c r="A92" t="inlineStr">
        <is>
          <t>猎狐行动（《猎狐行动》电影同名主题曲）</t>
        </is>
      </c>
      <c r="B92" t="inlineStr">
        <is>
          <t>2020</t>
        </is>
      </c>
      <c r="C92" s="2">
        <v>44186</v>
      </c>
      <c r="D92" t="inlineStr">
        <is>
          <t>
狐狸窥探 小心守候
准备行动 转身向后
狐狸窥探 小心守候
猎人在屏息 深藏不露
准备行动 转身向后
圈套没了用 机会在手中
凛冽中追逐 烈阳下痛哭
拥抱在此刻 很是满足 些许急促
踏天涯 或寻海角
若有逃 我必追到 在手难逃
把你伪装的面具收好
最后时刻一定是我在笑
凯旋之门打开
呼唤着未来 胜利的归来
狐狸窥探 小心守候
猎人在屏息 深藏不露
准备行动 转身向后
圈套没了用 机会在手中
狐狸窥探 小心守候
猎人在屏息 深藏不露
准备行动 转身向后
圈套没了用 机会在手中
Rap：
深藏不露
套路已经摸不透
我玩的三十六计
对付你雕虫小技
每一个unit在待命
我在排兵布阵
今天不掀你的窝得看我的心情
明天就留下你终身难忘掉的阴影
Roger that
Said I be back with back up
Collecting and wrapping the facts up
Running and dashing I'll catch up
Squadron be running the sirens
Find where they hiding
Sneaking then dive in
Jabbing like Tyson
Hard like a diamond
Make sure they end up with nothing but crisis
凯旋之门打开
呼唤着未来胜利的归来
狐狸窥探 小心守候
猎人在屏息 深藏不露
准备行动 转身向后
圈套没了用 机会在手中
狐狸窥探 小心守候
猎人在屏息 深藏不露
准备行动 转身向后
圈套没了用 机会在手中
狐狸窥探 小心守候
准备行动 转身向后
狐狸窥探 小心守候
猎人在屏息 深藏不露
准备行动 转身向后
圈套没了用 机会在手中
狐狸窥探 小心守候
猎人在屏息 深藏不露
准备行动 转身向后
圈套没了用 机会在手中</t>
        </is>
      </c>
      <c r="E92" t="inlineStr">
        <is>
          <t>
词：白举纲
Rap 词：马伯骞
曲：白举纲
编曲：郭峻江
弦乐：国际首席爱乐乐团
混音：Rhys May
母带：Chris Gehringer
制作人：白举纲
白举纲录音师：郑世伟
马伯骞录音棚：RMB Studio爆棚@奔跑怪物
马伯骞录音师：徐晓
监制：高航
音乐发行：反正靠谱
音乐营销：奔跑怪物</t>
        </is>
      </c>
      <c r="F92" t="inlineStr">
        <is>
          <t>谈及创作灵感，白举纲表示，歌曲的主旨来自于电影中的一句话：“就算是个圈套，我也要去试一试。”体现出警察的坚毅勇敢和智慧。定下“猎狐行动”的主题之后，首先想到了把狐狸、圈套、追逃等元素融进歌词里面，然后再添加了一些诸如“凯旋之门”这种贴合剧情的意象，“希望能够把人民警察‘有逃必追’的气概传达给大家。”歌曲的风格主要想体现出凯旋和自如，所以选择了用Brass作为基础乐器，同时用电子乐做框架，让听到的人能够随着音乐动起来。马伯骞则表示歌曲中想表现人民警察在海外追逃追逐时的那种英姿飒爽，“在歌曲紧张的氛围中融入当下流行的trap元素，让整首歌更加丰富抓人耳朵，跟剧情环环相扣。”</t>
        </is>
      </c>
      <c r="G92" t="inlineStr">
        <is>
          <t>原声带</t>
        </is>
      </c>
      <c r="H92" s="3"/>
      <c r="I92" s="3"/>
      <c r="J92" t="inlineStr">
        <is>
          <t>白举纲/马伯骞Victor Ma《猎狐行动》https://c6.y.qq.com/base/fcgi-bin/u?__=wkjgq8LOMrlA @QQ音乐</t>
        </is>
      </c>
      <c r="K92"/>
      <c r="L92" t="inlineStr">
        <is>
          <t>马伯骞</t>
        </is>
      </c>
      <c r="M92" t="inlineStr">
        <is>
          <t>image.png</t>
        </is>
      </c>
      <c r="N92" t="inlineStr">
        <is>
          <t>作词（合作创作）</t>
        </is>
      </c>
      <c r="O92" s="3"/>
      <c r="P92"/>
      <c r="Q92" s="3"/>
      <c r="R92"/>
    </row>
    <row r="93" ht="25.5" customHeight="1">
      <c r="A93" t="inlineStr">
        <is>
          <t>Stay</t>
        </is>
      </c>
      <c r="B93" t="inlineStr">
        <is>
          <t>2017</t>
        </is>
      </c>
      <c r="C93" s="2">
        <v>43098</v>
      </c>
      <c r="D93" t="inlineStr">
        <is>
          <t>无路可退 只能高飞
不想后来忏悔
这条路上 人声鼎沸
嘲笑我 奋力向前飞
不屑我放手一搏的狂追
只有梦的蓓蕾 浇灌的是汗泪
i just wanna stay
just wanna play
whatever 20 or 30
Hey
you gotta see it 
you gotta see it 
i just wanna stay
just wanna play
stay 20 or 30
we are not afraid
you gotta see it 
you gotta see it 
无路可退 只能高飞
不想后来忏悔
这条路上 人声鼎沸
哪怕前路 布满黑夜
这时哪可以就此沉睡
从命运里突围
骄傲的擦去泪水
i just wanna stay
just wanna play
whatever 20 or 30
Hey
you gotta see it 
you gotta see it 
i just wanna stay
just wanna play
whatever 20 or 30
Hey
you gotta see it 
you gotta see it 
i just wanna stay
just wanna play
whatever 20 or 30
Hey
you gotta see it 
you gotta see it 
i just wanna stay
just wanna play
whatever 20 or 30
Hey
you gotta see it 
you gotta see it 
you gotta see it 
</t>
        </is>
      </c>
      <c r="E93"/>
      <c r="F93"/>
      <c r="G93" t="inlineStr">
        <is>
          <t>单曲</t>
        </is>
      </c>
      <c r="H93" s="3" t="str">
        <f>=HYPERLINK("https://m.bilibili.com/video/BV1FW411m7x4?buvid=XUBE5E7B24BF5BF0AEFAEF9D9D55FC304E0A1&amp;from_spmid=search.search-result.0.0&amp;is_story_h5=false&amp;mid=zhS87mebh5Y2APSce72Zug%3D%3D&amp;p=1&amp;plat_id=116&amp;share_from=ugc&amp;share_medium=android&amp;share_plat=android&amp;share_session_id=a56bd139-b23e-401b-91a5-91f71122aa38&amp;share_source=WEIXIN&amp;share_tag=s_i&amp;spmid=united.player-video-detail.0.0&amp;timestamp=1776854296&amp;unique_k=qdzNw5t&amp;up_id=21742421", "https://m.bilibili.com/video/BV1FW411m7x4?buvid=XUBE5E7B24BF5BF0AEFAEF9D9D55FC304E0A1&amp;from_spmid=search.search-result.0.0&amp;is_story_h5=false&amp;mid=zhS87mebh5Y2APSce72Zug%3D%3D&amp;p=1&amp;plat_id=116&amp;share_from=ugc&amp;share_medium=android&amp;share_plat=android&amp;share_session_id=a56bd139-b23e-401b-91a5-91f71122aa38&amp;share_source=WEIXIN&amp;share_tag=s_i&amp;spmid=united.player-video-detail.0.0&amp;timestamp=1776854296&amp;unique_k=qdzNw5t&amp;up_id=21742421")</f>
        <v>https://m.bilibili.com/video/BV1FW411m7x4?buvid=XUBE5E7B24BF5BF0AEFAEF9D9D55FC304E0A1&amp;from_spmid=search.search-result.0.0&amp;is_story_h5=false&amp;mid=zhS87mebh5Y2APSce72Zug%3D%3D&amp;p=1&amp;plat_id=116&amp;share_from=ugc&amp;share_medium=android&amp;share_plat=android&amp;share_session_id=a56bd139-b23e-401b-91a5-91f71122aa38&amp;share_source=WEIXIN&amp;share_tag=s_i&amp;spmid=united.player-video-detail.0.0&amp;timestamp=1776854296&amp;unique_k=qdzNw5t&amp;up_id=21742421</v>
      </c>
      <c r="I93" s="3"/>
      <c r="J93"/>
      <c r="K93"/>
      <c r="L93"/>
      <c r="M93"/>
      <c r="N93" t="inlineStr">
        <is>
          <t>原创</t>
        </is>
      </c>
      <c r="O93" s="3"/>
      <c r="P93"/>
      <c r="Q93" s="3"/>
      <c r="R93"/>
    </row>
    <row r="94" ht="25.5" customHeight="1">
      <c r="A94" t="inlineStr">
        <is>
          <t>不愿再泪流</t>
        </is>
      </c>
      <c r="B94" t="inlineStr">
        <is>
          <t>小小白</t>
        </is>
      </c>
      <c r="C94" s="2"/>
      <c r="D94" t="inlineStr">
        <is>
          <t>青春绽放，盛开梦想，我们执着，充满力量；
初晨阳光，照耀我们远方，前进路上，不怕受伤。
我们不能让生活挫折胡乱冲撞，只需勇敢坚毅走向前方。
再也没有童年的幸福生活，但不能堕落；
想象将来生活，用汗水换来收获，任自己挥霍。
我们会比以前更加坚强，不能迷失自我。
不愿再流泪满面的低着头，因为胆怯，不敢冲向天空；
不愿再流泪满面的低着头，因为沉默，被打败在现实中。</t>
        </is>
      </c>
      <c r="E94"/>
      <c r="F94" t="inlineStr">
        <is>
          <t>今天突然想说一说《不愿再泪流》~高三集训结束前写的！当时的编曲和吉他什么都还不怎么好，所以做的不太好！写这个只是希望不要在得到最后成绩的时候有所伤心和难过，好的心态最重要，而且同时知道自己该做什么就是最好的！所以，不要因为沉默被打败在现实中！不要无从下手，下手后又不知所措！</t>
        </is>
      </c>
      <c r="G94" t="inlineStr">
        <is>
          <t>未正式发布单曲</t>
        </is>
      </c>
      <c r="H94" s="3"/>
      <c r="I94" s="3"/>
      <c r="J94" t="inlineStr">
        <is>
          <t>【不愿再泪流。】 https://www.bilibili.com/video/BV1fXFVzWEWM/?share_source=copy_web&amp;vd_source=9a6bf3f0546e45af2384d1aa9db5309b</t>
        </is>
      </c>
      <c r="K94"/>
      <c r="L94"/>
      <c r="M94" t="inlineStr">
        <is>
          <t>image.png</t>
        </is>
      </c>
      <c r="N94" t="inlineStr">
        <is>
          <t>原创</t>
        </is>
      </c>
      <c r="O94" s="3"/>
      <c r="P94"/>
      <c r="Q94" s="3"/>
      <c r="R94"/>
    </row>
    <row r="95" ht="25.5" customHeight="1">
      <c r="A95" t="inlineStr">
        <is>
          <t>想象</t>
        </is>
      </c>
      <c r="B95" t="inlineStr">
        <is>
          <t>小小白</t>
        </is>
      </c>
      <c r="C95" s="2"/>
      <c r="D95" t="inlineStr">
        <is>
          <t>星光点点的夜晚，该走向何处。我不会逃跑，即使眼前荒芜。无垠的路何时才能看到出路，绚丽的梦想在青春公路高速飞舞。想像，哪里才属于我，寻找到向往的彩虹，通往自己的路。所有的泪珠，都将化作鼓舞。未来的蓝图，由我们自己筑。为什么努力，已踏破了鞋底。天下的雨，已湿透了我心。曾经我该如何忘记，那不堪回首的记忆。不在乎生命有多贫瘠，为自己永远不言弃。</t>
        </is>
      </c>
      <c r="E95"/>
      <c r="F95" t="inlineStr">
        <is>
          <t>大学班歌</t>
        </is>
      </c>
      <c r="G95" t="inlineStr">
        <is>
          <t>未正式发布单曲</t>
        </is>
      </c>
      <c r="H95" s="3"/>
      <c r="I95" s="3"/>
      <c r="J95" t="inlineStr">
        <is>
          <t>分享了#Pax's live 白举纲#的声音《声音：【原创】想象》: https://y.music.163.com/m/program?id=904423732&amp;uct2=KL9sgGmNCKOe5%2B6BwBYX9Q%3D%3D&amp;djId=56338717&amp;app_version=9.4.67 (来自@网易云音乐)</t>
        </is>
      </c>
      <c r="K95"/>
      <c r="L95"/>
      <c r="M95"/>
      <c r="N95" t="inlineStr">
        <is>
          <t>原创</t>
        </is>
      </c>
      <c r="O95" s="3"/>
      <c r="P95"/>
      <c r="Q95" s="3"/>
      <c r="R95"/>
    </row>
    <row r="96" ht="25.5" customHeight="1">
      <c r="A96" t="inlineStr">
        <is>
          <t>Maybe i lf I</t>
        </is>
      </c>
      <c r="B96" t="inlineStr">
        <is>
          <t>2014</t>
        </is>
      </c>
      <c r="C96" s="2"/>
      <c r="D96" t="inlineStr">
        <is>
          <t>Maybe I'm Crazy，If I'm nothing.Maybe you don't know my name，If I'm still alone.Maybe I'm dreamer，If I'm dreaming.Maybe this is not truth，If everything is OK. If I say goodbye，If I say goodbye，If I say goodbye，Please rescue me.</t>
        </is>
      </c>
      <c r="E96"/>
      <c r="F96" t="inlineStr">
        <is>
          <t>献给马航MH370所有遇难者</t>
        </is>
      </c>
      <c r="G96" t="inlineStr">
        <is>
          <t>未正式发布单曲</t>
        </is>
      </c>
      <c r="H96" s="3"/>
      <c r="I96" s="3"/>
      <c r="J96" t="inlineStr">
        <is>
          <t>分享了#Pax's live 白举纲#的声音《声音：【原创】Maybe I&amp;If I》: https://y.music.163.com/m/program?id=904428658&amp;uct2=DtzEQAluJTvLltTLEXrhBg%3D%3D&amp;djId=56338717&amp;app_version=9.4.67 (来自@网易云音乐)</t>
        </is>
      </c>
      <c r="K96" t="inlineStr">
        <is>
          <t>https://weibo.com/p/10151501_100114592</t>
        </is>
      </c>
      <c r="L96"/>
      <c r="M96"/>
      <c r="N96" t="inlineStr">
        <is>
          <t>原创</t>
        </is>
      </c>
      <c r="O96" s="3"/>
      <c r="P96"/>
      <c r="Q96" s="3"/>
      <c r="R96"/>
    </row>
    <row r="97" ht="25.5" customHeight="1">
      <c r="A97" t="inlineStr">
        <is>
          <t>Rainy Boy</t>
        </is>
      </c>
      <c r="B97" t="inlineStr">
        <is>
          <t>2018</t>
        </is>
      </c>
      <c r="C97" s="2">
        <v>43462</v>
      </c>
      <c r="D97" t="inlineStr">
        <is>
          <t>
遇过一些可能该错过的，散了，有意栽花她们也都会落
灯火通明的夜晚也很多，好了，无心插柳都是别人家的；
乌云找我了，越积越多；
乌云下雨了，越下越多；
红尘烟雨的远方，注定花开一场，
那雨水便是滋养，Na～Na～Na～Na；
少郎豆蔻，相逢邂逅，叶舞花落，再沉醉入梦；
对面饮酒，茶烟消愁，缠绵相拥在淋不湿的雨中。
雨中男孩谁贪恋着，
雨中男孩谁守候着。
雨后泥泞它雾来也朦胧，难了，现实虚幻也没有太多用；
太阳也走湿冷它跟着我，困了，陷在这泥里睡去没有梦；
乌云找我了，越积越多；
乌云下雨了，越下越多；
红尘烟雨的远方，注定花开一场，
那雨水便是滋养，Na～Na～Na～Na；
少郎豆蔻，相逢邂逅，叶舞花落，再沉醉入梦；
对面饮酒，茶烟消愁，缠绵相拥在淋不湿的雨中。
雨中男孩谁贪恋着，
雨中男孩谁守候着。
雨中男孩谁贪恋着，
雨中男孩谁守候着。
乌云找我了，越积越多；
乌云下雨了，越下越多；
红尘烟雨的远方，注定花开一场，
那雨水便是滋养，na～na～na～na
女和声：MAggie Snow
录音：Erik Ron
混音：Luke Moellman（Great Good Fine Ok）
母带：Ted Jensen
封面：卢妹子</t>
        </is>
      </c>
      <c r="E97" t="inlineStr">
        <is>
          <t>作词 : 白举纲
作曲 : 白举纲
（此歌献给鼓手小豪，殷之豪）
编曲：Luke Moellman（Great Good Fine Ok）</t>
        </is>
      </c>
      <c r="F97" t="inlineStr">
        <is>
          <t>雨中男孩谁贪恋着，雨中男孩谁守候着
《Rainy Boy》——献给鼓手小豪的歌曲
白举纲送给乐队鼓手小豪的歌，歌词中有对好友小豪沉浸在失恋情绪中无法走出来的善意调侃，也是对和小豪一样的人在逝去感情中无法放下的一种劝解，“有心栽花她们也会落”“无心插柳都是别人家的”，生动的歌词彷佛自带画面感，让沉浸在悲伤情绪中的人想“噗呲”一笑。
白举纲在《Rainy Boy》上“玩”心大作，前奏用充满80年代气息的复古合成器，营造出迷幻氤氲的氛围。而主体部分，Disco 的四四拍节奏、跳动感十足的bass line都让人忍不住跟着抖腿。Bridge部分的电吉他solo，更为整首歌增添了一些New Wave的色彩！制作上，格莱美顶级制作人Erik Ron录音、美国电子乐队Great Good Fine Ok的Luke Moellman完成编曲和混音，母带师Ted Jensen是16届格莱美最佳专辑的母带大师，堪称豪华阵容。
爱情很苦，生活还是要继续。纠结迷茫的时候听一听《Rainy Boy》和白大爷一起蹦迪吧！</t>
        </is>
      </c>
      <c r="G97" t="inlineStr">
        <is>
          <t>单曲</t>
        </is>
      </c>
      <c r="H97" s="3" t="str">
        <f>=HYPERLINK("https://www.bilibili.com/video/BV11s411V7Zm/?p=8&amp;share_source=copy_web&amp;vd_source=9a6bf3f0546e45af2384d1aa9db5309b", "https://www.bilibili.com/video/BV11s411V7Zm/?p=8&amp;share_source=copy_web&amp;vd_source=9a6bf3f0546e45af2384d1aa9db5309b")</f>
        <v>https://www.bilibili.com/video/BV11s411V7Zm/?p=8&amp;share_source=copy_web&amp;vd_source=9a6bf3f0546e45af2384d1aa9db5309b</v>
      </c>
      <c r="I97" s="3"/>
      <c r="J97" t="inlineStr">
        <is>
          <t>分享白举纲的单曲《Rainy Boy (雨中男孩)》: https://y.music.163.com/m/song?id=1335819118&amp;userid=1316898734&amp;dlt=0846 (来自@网易云音乐)</t>
        </is>
      </c>
      <c r="K97"/>
      <c r="L97"/>
      <c r="M97" t="inlineStr">
        <is>
          <t>image.png</t>
        </is>
      </c>
      <c r="N97" t="inlineStr">
        <is>
          <t>原创</t>
        </is>
      </c>
      <c r="O97" s="3"/>
      <c r="P97"/>
      <c r="Q97" s="3"/>
      <c r="R97"/>
    </row>
    <row r="98" ht="25.5" customHeight="1">
      <c r="A98" t="inlineStr">
        <is>
          <t>小小白之歌</t>
        </is>
      </c>
      <c r="B98" t="inlineStr">
        <is>
          <t>2014</t>
        </is>
      </c>
      <c r="C98" s="2"/>
      <c r="D98"/>
      <c r="E98"/>
      <c r="F98"/>
      <c r="G98" t="inlineStr">
        <is>
          <t>未正式发布单曲</t>
        </is>
      </c>
      <c r="H98" s="3" t="str">
        <f>=HYPERLINK("https://www.bilibili.com/video/BV1g34y1o74N/?share_source=copy_web&amp;vd_source=9a6bf3f0546e45af2384d1aa9db5309b", "【20岁的白举纲竟然为未来的小小白写歌？】")</f>
        <v>【20岁的白举纲竟然为未来的小小白写歌？】</v>
      </c>
      <c r="I98" s="3"/>
      <c r="J98"/>
      <c r="K98"/>
      <c r="L98"/>
      <c r="M98" t="inlineStr">
        <is>
          <t>IMG_20260313_124552.jpg</t>
        </is>
      </c>
      <c r="N98" t="inlineStr">
        <is>
          <t>原创</t>
        </is>
      </c>
      <c r="O98" s="3"/>
      <c r="P98"/>
      <c r="Q98" s="3"/>
      <c r="R98"/>
    </row>
    <row r="99" ht="25.5" customHeight="1">
      <c r="A99" t="inlineStr">
        <is>
          <t>陪你的路</t>
        </is>
      </c>
      <c r="B99" t="inlineStr">
        <is>
          <t>2018</t>
        </is>
      </c>
      <c r="C99" s="2">
        <v>43188</v>
      </c>
      <c r="D99" t="inlineStr">
        <is>
          <t>花儿遇到严冬 会等待盛开
生命遇到疼痛 会默默忍耐
你陪我存在
我直面未来
人间跌跌撞撞 多么的精彩
其实我们都庆幸 还可以重来
因为你存在
让我还能去爱
生而为我 也许孤独 生而为你 也许踯躅
因为相遇 因为相信 不再害怕漫漫长路
生而为我 爱你如初 生而为你 不再无助
为你的笑 我一直在
陪你的路
人间跌跌撞撞 多么的精彩
其实我们都庆幸 还可以重来
因为你存在
让我还能去爱
我会慢慢 变得糊涂
我会慢慢 蹒跚脚步
请不要哭 牵着我的手 我还有陪你的路
生而为我 也许孤独 生而为你 也许踯躅
因为相遇 因为相信 不再害怕漫漫长路
生而为我 爱你如初 生而为你 不再无助
为你的笑 我一直在
陪你的路
生而为我 也许孤独 生而为你 也许踯躅
因为相遇 因为相信 不再害怕漫漫长路
生而为我 爱你如初 生而为你 不再无助
为你的笑 我一直在
陪你的路</t>
        </is>
      </c>
      <c r="E99" t="inlineStr">
        <is>
          <t>作曲：陈伟伦</t>
        </is>
      </c>
      <c r="F99" t="inlineStr">
        <is>
          <t>为2018湖南卫视大型观察式医疗纪实节目《生机无限》献唱的主题曲</t>
        </is>
      </c>
      <c r="G99" t="inlineStr">
        <is>
          <t>单曲</t>
        </is>
      </c>
      <c r="H99" s="3"/>
      <c r="I99" s="3"/>
      <c r="J99" t="inlineStr">
        <is>
          <t>分享白举纲的单曲《陪你的路》: https://y.music.163.com/m/song?id=547971418&amp;userid=1316898734&amp;dlt=0846 (来自@网易云音乐)</t>
        </is>
      </c>
      <c r="K99"/>
      <c r="L99"/>
      <c r="M99" t="inlineStr">
        <is>
          <t>1387192450.jpg</t>
        </is>
      </c>
      <c r="N99" t="inlineStr">
        <is>
          <t>作曲（合作创作）</t>
        </is>
      </c>
      <c r="O99" s="3"/>
      <c r="P99"/>
      <c r="Q99" s="3"/>
      <c r="R99"/>
    </row>
    <row r="100" ht="25.5" customHeight="1">
      <c r="A100" t="inlineStr">
        <is>
          <t>人间失格No Longer Human</t>
        </is>
      </c>
      <c r="B100" t="inlineStr">
        <is>
          <t>2023</t>
        </is>
      </c>
      <c r="C100" s="2">
        <v>45083</v>
      </c>
      <c r="D100" t="inlineStr">
        <is>
          <t>太宰治：
睁开双眼
呼啸的空气在盘旋
无尽的灰色在蔓延
我要让你看见
看见这烈火燃烧的终点
我 创造的世界
合：
羞耻的罪孽
消散在世间
就算要告别
我选择创造与毁灭
羞耻的罪孽
缠绕在世间
就让我回到尘埃里面
太宰治：
这一瞬间
灰烬不再陪伴火焰
滚烫的心跳被冻结
我要让你看见
看见这风中飘摇的碎片
我 颤抖的世界
合：
羞耻的罪孽
消散在世间
尘埃不会湮灭
阴霾会更加浓烈
羞耻的罪孽
缠绕在世间
太宰治：
让我来画上句点
太宰治：
如果唯有再一次沦陷
这是我最后一次辩解
我看见我的终点就在另一边
有人鞭笞着自己却如此喜悦
合：
羞耻的罪孽
消散在世间
让所有的一切
都不再被伪装割裂
就让这罪孽
缠绕在世间
做一个永远的少年</t>
        </is>
      </c>
      <c r="E100"/>
      <c r="F100"/>
      <c r="G100" t="inlineStr">
        <is>
          <t>音乐剧, 人间失格</t>
        </is>
      </c>
      <c r="H100" s="3"/>
      <c r="I100" s="3"/>
      <c r="J100" t="inlineStr">
        <is>
          <t>分享白举纲的单曲《人间失格No Longer Human (白举纲)》: https://y.music.163.com/m/song?id=2052442185&amp;userid=1316898734&amp;dlt=0846 (来自@网易云音乐)</t>
        </is>
      </c>
      <c r="K100"/>
      <c r="L100"/>
      <c r="M100" t="inlineStr">
        <is>
          <t>image.png</t>
        </is>
      </c>
      <c r="N100" t="inlineStr">
        <is>
          <t>初创演员</t>
        </is>
      </c>
      <c r="O100" s="3"/>
      <c r="P100"/>
      <c r="Q100" s="3"/>
      <c r="R100"/>
    </row>
    <row r="101" ht="25.5" customHeight="1">
      <c r="A101" t="inlineStr">
        <is>
          <t>东京百景 Rat Race</t>
        </is>
      </c>
      <c r="B101" t="inlineStr">
        <is>
          <t>2023</t>
        </is>
      </c>
      <c r="C101" s="2">
        <v>45083</v>
      </c>
      <c r="D101" t="inlineStr">
        <is>
          <t>权贵合：
在云端中感受尊贵
名和利正互相依偎
世间的规则由我来支配
穷人合：
梦想正被现实击碎
东京不同情自卑
贫穷与这里不匹配
青年合：
未来由我们主宰
旧时代被摧毁
新思想会无坚不摧
女郎合：
吞下寂寞的苦酒
我又在思念谁
笑自己为什么流泪
合：
东京柔软的海风是来自天堂
指引我飞向灿烂的远方
东京凛冽的浪潮来自修罗场
看清夜的光亮
看不清阴影背后的阳光
堀木：
繁星点亮了霓虹
香烟让欲望朦胧
酒精和姑娘组成冲动
金钱会让人自由
是我追求的成功
尊贵与低贱相拥
女郎：
穿梭欲望的迷宫
在幻境中梦游
不过问明天或以后
青年：
打破规则的腐朽
不再随波逐流
梦想让我不再平庸
合：
东京呼啸的列车是开往天堂
载满了触手可及的幻想
东京美好的幻想不过梦一场
粉碎夜的星光
粉不碎空荡荡的信仰
叶藏：
万丈高楼在咆哮
像触角将我缠绕
我是如此卑微又渺小
傲慢冷漠的嘲笑
来自陌生的街道
掌控着让我无处可逃
人潮在向我袭来
避而不及逃不开
神志错乱我忘记目的
它让我无法呼吸
在喧嚣中隐藏自己
寻找空气
合：
东京柔软的海风是来自天堂
指引我飞向灿烂的远方
东京凛冽的浪潮来自修罗场
看尽夜的光亮
看不尽夜的悲伤
东京呼啸的列车是开往天堂
载满了触手可及的幻想
东京美好的幻想不过梦一场
让人跌跌撞撞
让人历经沧桑
让人念念不忘
让人永远都心生向往</t>
        </is>
      </c>
      <c r="E101"/>
      <c r="F101"/>
      <c r="G101" t="inlineStr">
        <is>
          <t>音乐剧, 人间失格</t>
        </is>
      </c>
      <c r="H101" s="3"/>
      <c r="I101" s="3"/>
      <c r="J101" t="inlineStr">
        <is>
          <t>分享白举纲/张玮伦/马小乔/范金锴的单曲《东京百景 Rat Race》: https://y.music.163.com/m/song?id=2052441244&amp;userid=1316898734&amp;dlt=0846 (来自@网易云音乐)</t>
        </is>
      </c>
      <c r="K101"/>
      <c r="L101" t="inlineStr">
        <is>
          <t>张玮伦 马小乔 范金楷</t>
        </is>
      </c>
      <c r="M101" t="inlineStr">
        <is>
          <t>image.png</t>
        </is>
      </c>
      <c r="N101" t="inlineStr">
        <is>
          <t>初创演员</t>
        </is>
      </c>
      <c r="O101" s="3"/>
      <c r="P101"/>
      <c r="Q101" s="3"/>
      <c r="R101"/>
    </row>
    <row r="102" ht="25.5" customHeight="1">
      <c r="A102" t="inlineStr">
        <is>
          <t>心之王者 神之宠儿 Surprise Surprise</t>
        </is>
      </c>
      <c r="B102" t="inlineStr">
        <is>
          <t>2023</t>
        </is>
      </c>
      <c r="C102" s="2">
        <v>45083</v>
      </c>
      <c r="D102" t="inlineStr">
        <is>
          <t>青年A：
这里是我们的地盘
不是什么人都能窥探
青年B：
怎么又找来个新麻烦
别忘了上回的混乱
青年C：
看看又是哪来的小年轻
如此普通如此没自信
青年A、B、C合：
我们是天选之子 也是战士
青年合：
我们挑战规则
青年A：
定义人类的角色
青年合：
是神之宠儿
青年A：
心之王者
青年合：
阳光与月色
青年A：
俯瞰大地的炙热
却沉默而又不动声色
指定我们为使者
（台词）
青年A：堀木！带这小人物离开，
别再来给我们添麻烦！
堀木：他可不是什么小人物，他
是青森大庭家的少爷！他父亲可
是议员！
青年C：青森？
青年B：大庭家！
青年C：
原来是家族的势力
让你以为我们会让步
青年B：
这个时代不需要压迫
你们阻碍前进的脚步
太宰治：
也许他的加入能成为
我们全新的机会
青年A：
除非他可以背叛所谓权贵
青年合：
必须挑战规则
太宰治：
证明你的坚决
青年合：
不接受退缩
太宰治：
给他时间
青年合：
想要得到认可
必须放弃家族
放弃特权来顺应时代
叶藏：
我要参与反抗
（台词）
青年A：滚出去！你的出身不配
与我们为伍！
堀木：他可以放弃他的出身。
太宰治：你们不觉得，让地主的
儿子推翻地主，也挺有趣的吗？
青年A：他能怎么推翻？
堀木：他…他有钱啊，他父亲的
钱，地主的钱！
太宰治：对，他可以用大庭家的
钱推翻大庭家！
青年合：
你将从此前途光明
太宰治：
你将迎接狂风暴雨
叶藏：
我也许可以反抗家族
青年合：
别再犹豫
一起翻天覆地
合：
无法控制期待
叶藏：
期待新的意外
合：
第一次勇敢
叶藏：
好像不难
合：
尝试肆无忌惮
叶藏：
在这片灰色地带
合：
打破规则也许很简单
青年合：
我们有了新的宠爱
真是意料之外
反抗的勇敢
值得喝彩
别再孤军奋战
遵循神的安排
我们一起去创造全新的未来
会让新思想无所不在
创造新的时代</t>
        </is>
      </c>
      <c r="E102"/>
      <c r="F102"/>
      <c r="G102" t="inlineStr">
        <is>
          <t>音乐剧, 人间失格</t>
        </is>
      </c>
      <c r="H102" s="3"/>
      <c r="I102" s="3"/>
      <c r="J102" t="inlineStr">
        <is>
          <t>分享白举纲/刘令飞/范金锴的单曲《心之王者 神之宠儿 Surprise Surprise》: https://y.music.163.com/m/song?id=2052442183&amp;userid=1316898734&amp;dlt=0846 (来自@网易云音乐)</t>
        </is>
      </c>
      <c r="K102"/>
      <c r="L102" t="inlineStr">
        <is>
          <t>范金楷 刘令飞</t>
        </is>
      </c>
      <c r="M102" t="inlineStr">
        <is>
          <t>image.png</t>
        </is>
      </c>
      <c r="N102" t="inlineStr">
        <is>
          <t>初创演员</t>
        </is>
      </c>
      <c r="O102" s="3"/>
      <c r="P102"/>
      <c r="Q102" s="3"/>
      <c r="R102"/>
    </row>
    <row r="103" ht="25.5" customHeight="1">
      <c r="A103" t="inlineStr">
        <is>
          <t>坠入大海的尘埃 In My Own Way</t>
        </is>
      </c>
      <c r="B103" t="inlineStr">
        <is>
          <t>2023</t>
        </is>
      </c>
      <c r="C103" s="2">
        <v>45083</v>
      </c>
      <c r="D103" t="inlineStr">
        <is>
          <t>叶藏：
夜空闪烁
人影交错
潮起潮落
剩下孤独和我
我试过 去讨好 去自嘲 无可救药
想被别人需要
被取笑 被绊倒 也捧着 手里的稻草
却还是 得不到 求不了 画地为牢
最后的 孤岛
如果能够
学会冷漠
心不再动
也不会有失落
我的愁 我的痛 我的梦 我的懦弱
变成一道枷锁
纠缠我 刺痛我 撕裂我 却无法挣脱
怎么做 该沉默 该示弱 别再执着
该如何
一颗尘埃
坠落人海
临摹人类的悲欢
这片烟海
听不见我的呼唤
尘埃里的呼唤
世间沉浮
锥心刺骨
也许活着
是我犯的错误
离故乡 行远方 一路上 跌跌撞撞
无数次的彷徨
到最后 回过首 才看透 我一无所有
就让我 变成风 变成空 随它枯荣
该如何
一颗尘埃
坠落人海
学会人类的悲欢
这片烟海
不听尘埃的呼唤
我的存在
是错</t>
        </is>
      </c>
      <c r="E103"/>
      <c r="F103"/>
      <c r="G103" t="inlineStr">
        <is>
          <t>音乐剧, 人间失格</t>
        </is>
      </c>
      <c r="H103" s="3"/>
      <c r="I103" s="3"/>
      <c r="J103" t="inlineStr">
        <is>
          <t>分享白举纲的单曲《坠入大海的尘埃 In My Own Way》: https://y.music.163.com/m/song?id=2052441245&amp;userid=1316898734&amp;dlt=0846 (来自@网易云音乐)</t>
        </is>
      </c>
      <c r="K103"/>
      <c r="L103"/>
      <c r="M103" t="inlineStr">
        <is>
          <t>image.png</t>
        </is>
      </c>
      <c r="N103" t="inlineStr">
        <is>
          <t>初创演员</t>
        </is>
      </c>
      <c r="O103" s="3"/>
      <c r="P103"/>
      <c r="Q103" s="3"/>
      <c r="R103"/>
    </row>
    <row r="104" ht="25.5" customHeight="1">
      <c r="A104" t="inlineStr">
        <is>
          <t>摇篮曲 Moonbeam</t>
        </is>
      </c>
      <c r="B104" t="inlineStr">
        <is>
          <t>2023</t>
        </is>
      </c>
      <c r="C104" s="2">
        <v>45083</v>
      </c>
      <c r="D104" t="inlineStr">
        <is>
          <t>恒子：
每一天
向寒风许愿
祈求闭上眼 就能梦见 就会再见
希望不曾走远
叶藏：
每一夜
看月落星沉
总是一个人 一盏孤灯 一身苦闷
等黎明的钟声
叶藏：
每当夜深人静总会叹息
恒子：
叹自己的结局早已注定
合：
时间不会为谁而停
恒子：
但梦里
有温柔的涟漪
合：
永恒的浮影
叶藏：
你出现
闯入我的梦
带来一阵风 一道彩虹 一片星空
我却害怕触碰
恒子：
忽然间
夜不再沉默
听见我心中 再次跳动 再次消融
从漫长的寒冬
恒子：
梦会为你拂去所有痛楚
也会去拥抱每一份孤独
合：
让梦境带你去远方
叶藏：
去流浪
合：
记忆中的阳光
会永远照亮
叶藏：
如果这世间只剩下阴霾
合：
至少虚妄中有你在
恒子：
就算有一天睡梦终究会醒来
合：
我会和你相拥到分开
恒子：
让我为你的梦点亮星火
叶藏：
我会将你冰凉的手紧握
合：
航行在无边银河中
你和我
看繁星的湖泊
月光泛鳞波
恒子：
摘下一颗星火
合：
留在我梦中
叶藏：
等下一场重逢
合：
你会找到我</t>
        </is>
      </c>
      <c r="E104"/>
      <c r="F104"/>
      <c r="G104" t="inlineStr">
        <is>
          <t>音乐剧, 人间失格</t>
        </is>
      </c>
      <c r="H104" s="3"/>
      <c r="I104" s="3"/>
      <c r="J104" t="inlineStr">
        <is>
          <t>分享白举纲/徐梦的单曲《摇篮曲 Moonbeam》: https://y.music.163.com/m/song?id=2052442184&amp;userid=1316898734&amp;dlt=0846 (来自@网易云音乐)</t>
        </is>
      </c>
      <c r="K104"/>
      <c r="L104" t="inlineStr">
        <is>
          <t>徐梦</t>
        </is>
      </c>
      <c r="M104" t="inlineStr">
        <is>
          <t>image.png</t>
        </is>
      </c>
      <c r="N104" t="inlineStr">
        <is>
          <t>初创演员</t>
        </is>
      </c>
      <c r="O104" s="3"/>
      <c r="P104"/>
      <c r="Q104" s="3"/>
      <c r="R104"/>
    </row>
    <row r="105" ht="25.5" customHeight="1">
      <c r="A105" t="inlineStr">
        <is>
          <t>夏季花火 生与死 Every Little Thing&amp;The Author</t>
        </is>
      </c>
      <c r="B105" t="inlineStr">
        <is>
          <t>2023</t>
        </is>
      </c>
      <c r="C105" s="2">
        <v>45083</v>
      </c>
      <c r="D105" t="inlineStr">
        <is>
          <t>恒子：
在这世间
已经没什么可留恋
不如许下最后的誓言
海的彼岸
我们一定将会再见
彻底逃离这片深渊
叶藏：
彼岸的冬天不会下雪
让我想要跃过海面
去看那个温暖终点
是否充满喜悦
太宰治：
我很明白
此刻的痛早已失控
世间也曾经这样伤我
我很明白
此刻的伤无法释怀
利刃般的言语在纠缠
就让今夜作为终结
终结在这深海里面
就让一切的伤痕累累
永远不再蔓延
太宰治&amp;叶藏&amp;恒子合：
我想对世间求爱
可现实很冰凉
一次一次将我埋葬
我想要追寻彼岸
那烟火的温暖
它一定会在梦中照亮
它一定就是梦里的浮光
太宰治：
你的存在
是我的痛 是我的爱
是我灵魂深处在呐喊
如果重来
我是否应该再一次
选择为你写下阴霾
可这是我最深的忏悔
让羞耻的罪孽被淹灭
我写下了最深的潮水
与你就此告别
我想要为你点亮
这星辰和大海
那是我真实的自白
歌队：
那是我真实自白
太宰治：
我想要为你点亮
这星辰和大海
在生命中的最后一刻
留下我给你最后的色彩
色彩
叶藏：
如果这世间还有光源
应该不会来自深渊
可为何天空如此耀眼
让我无法告别
我想要再次点亮
这星辰和大海
灰色的世间被浸染
歌队：
世间被火焰浸染
叶藏：
我想要靠近此刻
绚丽的温暖
我生命中的意义存在
我生命中的欢喜存在
我生命中的向往存在
我生命中的色彩会存在
叶藏&amp;歌队合：
存在
叶藏：
会存在
太宰治：
无法置信
这意料之外的呼吸
是什么在逃离命运
我掌控的轨迹
已经来到了最好的结局
可他 为何在抗拒
看着我的眼睛
看着你的真实原型
让我向你坦白
你是我的人生幻影
叶藏：
荒谬地出现
荒谬的表现
漠视着眼前存在的一切
为何你如此地无动于衷
太宰治：
因为此刻就应该终结
太宰治：
擦亮你的眼睛
看清你的完美结局
你的生命轨迹
即将消失在这片大海
叶藏：
昏暗的房间
可怕的晚餐
浑浑噩噩在世间徘徊
孤单的灵魂遇见了温存
却选择了坠入大海
太宰治：
我是懦弱的存在
我是堕落的存在
无数痛苦的存在
这一生都无法忘怀
叶藏：
那我是什么
太宰治：
是幻像
叶藏：
我的存在
太宰治：
是原罪
叶藏：
我的痛苦和牵绊
太宰治：
是我给你的滋味
叶藏：
难道我所有的悲欢
太宰治：
早就该不复存在
大哥：
家族为你骄傲
我们支持你的梦想
青年A：
我最好的兄弟
你总让我钦佩无比
老女仆：
善良的少爷我向你道歉
我不该利用你的纯洁
太宰治：
是我让她靠近
是我让她爱你
别流泪
叶藏：
你就是个魔鬼
叶藏：
为什么要让我存在
却又让我被掩埋
太宰治：
你的每一次选择
我都曾想要更改
叶藏：
我一次又一次崩溃
一次又一次被碾碎
太宰治：
每一次都逃不开
像我一样悲哀
叶藏：
我要粉碎一切
太宰治：
你杀不掉一切
影子永远只能被书写
叶藏：
这是我的世界
叶藏/太宰治：
就让你看着它被改写/无法改写
叶藏：
我的心火将弥漫
我的怒火将点燃
太宰治：
你的生命不存在
你的故事由我主宰
叶藏：
可笑
叶藏：
我将脱离你存在
太宰治：
你将会烟消云散
叶藏：
我会脱离你存在
太宰治：
你的生命不存在
叶藏/太宰治：
我不是你的幻像/你就是我的幻像
我才是真正的主宰/你不是真正的主宰
合：
主宰</t>
        </is>
      </c>
      <c r="E105"/>
      <c r="F105"/>
      <c r="G105" t="inlineStr">
        <is>
          <t>音乐剧, 人间失格</t>
        </is>
      </c>
      <c r="H105" s="3"/>
      <c r="I105" s="3"/>
      <c r="J105" t="inlineStr">
        <is>
          <t>分享白举纲/刘令飞/张沁丹的单曲《夏季花火 生与死 Every Little Thing&amp;The Author》: https://y.music.163.com/m/song?id=2052441243&amp;userid=1316898734&amp;dlt=0846 (来自@网易云音乐)</t>
        </is>
      </c>
      <c r="K105"/>
      <c r="L105" t="inlineStr">
        <is>
          <t>刘令飞 张沁丹</t>
        </is>
      </c>
      <c r="M105" t="inlineStr">
        <is>
          <t>image.png</t>
        </is>
      </c>
      <c r="N105" t="inlineStr">
        <is>
          <t>初创演员</t>
        </is>
      </c>
      <c r="O105" s="3"/>
      <c r="P105"/>
      <c r="Q105" s="3"/>
      <c r="R105"/>
    </row>
    <row r="106" ht="25.5" customHeight="1">
      <c r="A106" t="inlineStr">
        <is>
          <t>夜幕降临的时刻 The Amazing</t>
        </is>
      </c>
      <c r="B106" t="inlineStr">
        <is>
          <t>2023</t>
        </is>
      </c>
      <c r="C106" s="2">
        <v>45083</v>
      </c>
      <c r="D106" t="inlineStr">
        <is>
          <t>祝子：
每个夜幕降临的时刻
都值得等待
别说话 它不会让你失望
只有黑暗中才能看见
阳光下那些不可见的微光
每当海面跃过夕阳
月光静默地照亮
对于我 才是新的一天
漆黑中我睁开双眼
开始期待夜空闪亮的一瞬间
黑夜是光的故乡
让萤火也能自由地徜徉
就像流星在奔跑
在肆意地舞蹈
黑夜是光的异彩
在不期而遇中为你而来
幻化成不可替代
叶藏：
也会消散
叶藏：
每个夜幕降临的时刻
都让我恐惧
连影子也会将我抛弃
就算天空洒满星辰
可乌云总会让人看不清
黑夜让我无所适从
就像孤单的帮凶
祝子：
为什么你会如此忧愁
叶藏：
这个世间对我而言
总是充斥着驱不散的阴霾
叶藏：
你说的那些美好
就像水中月和镜中花
祝子：
我说的那些美好
在冰雪中飞翔
黑夜是光的自由
洗去白昼对幻想的消磨
在萤火的陪伴中
合：
做个梦
合：
黑夜是光的摇篮
让每一颗流星得以安睡
收藏梦的星轨
感受缱绻滋味
黑夜是光的浪漫
就像无声的乐章在奏响
预料不到下一秒
去何方
黑夜不再漫长</t>
        </is>
      </c>
      <c r="E106"/>
      <c r="F106"/>
      <c r="G106" t="inlineStr">
        <is>
          <t>音乐剧, 人间失格</t>
        </is>
      </c>
      <c r="H106" s="3"/>
      <c r="I106" s="3"/>
      <c r="J106" t="inlineStr">
        <is>
          <t>分享白举纲/李炜铃的单曲《夜幕降临的时刻 The Amazing》: https://y.music.163.com/m/song?id=2052441242&amp;userid=1316898734&amp;dlt=0846 (来自@网易云音乐)</t>
        </is>
      </c>
      <c r="K106"/>
      <c r="L106" t="inlineStr">
        <is>
          <t>李炜铃</t>
        </is>
      </c>
      <c r="M106" t="inlineStr">
        <is>
          <t>image.png</t>
        </is>
      </c>
      <c r="N106" t="inlineStr">
        <is>
          <t>初创演员</t>
        </is>
      </c>
      <c r="O106" s="3"/>
      <c r="P106"/>
      <c r="Q106" s="3"/>
      <c r="R106"/>
    </row>
    <row r="107" ht="25.5" customHeight="1">
      <c r="A107" t="inlineStr">
        <is>
          <t>我是文学 Legends</t>
        </is>
      </c>
      <c r="B107" t="inlineStr">
        <is>
          <t>2023</t>
        </is>
      </c>
      <c r="C107" s="2">
        <v>45083</v>
      </c>
      <c r="D107" t="inlineStr">
        <is>
          <t>太宰治：
也许这将是最后的机会
能让我为自己辩白
世间有太多诋毁
而我却沉默以对
我的悲喜
成为独白
就当是给自己一个机会
不想再做个胆小鬼
我要让世界看见
他们有多么不配
我的作品
才值得赞美
其实你们比谁都更爱我
否则又为何谈论我
是真心唾弃着我
还是在嫉妒着我
你们心里
全都清楚
这是本为世间而作的书
一定会流传千古
别掩饰内心想法
想看的话就看啊
别再挣扎
何必要伪装
文人A：
我这一生尽是可耻的事
你终于明白这一点
文人B：
我害怕拒绝别人
文人C：
无法和人类共处
文人合：
又是这些
没用的东西
太宰治：
我书写所有虚伪
我书写人类最深处的罪
我书写沉沦中的苦与悲
胆小鬼
却在尽力而为
我想争取一个机会
难道这世间看不见残缺
难道无助就应该被抛弃
我绝无法认定
川端康成：
你居然还记得她
恒子：
还记得吗
你和我约定的那天
你还记得吗
彼岸的冬天不会下雪
可为何你走了
留下我一个人在海里
太宰治：
没错 我就是一个杀人犯
没错 我就应该去死
我就是懦弱不堪
我就是狼狈不堪
没错 我就是个混蛋
我要杀了你们
你们的唾弃还不够精彩
因为你们根本就不敢
我想要书写不堪
我正在书写不堪
此刻的我无所畏惧
我的作品
才值得铭记</t>
        </is>
      </c>
      <c r="E107"/>
      <c r="F107"/>
      <c r="G107" t="inlineStr">
        <is>
          <t>音乐剧, 人间失格</t>
        </is>
      </c>
      <c r="H107" s="3"/>
      <c r="I107" s="3"/>
      <c r="J107"/>
      <c r="K107"/>
      <c r="L107" t="inlineStr">
        <is>
          <t>徐梦 张光磊</t>
        </is>
      </c>
      <c r="M107" t="inlineStr">
        <is>
          <t>image.png</t>
        </is>
      </c>
      <c r="N107" t="inlineStr">
        <is>
          <t>初创演员</t>
        </is>
      </c>
      <c r="O107" s="3"/>
      <c r="P107"/>
      <c r="Q107" s="3"/>
      <c r="R107"/>
    </row>
    <row r="108" ht="25.5" customHeight="1">
      <c r="A108" t="inlineStr">
        <is>
          <t>重逢之前 If I Had To Do It All Again</t>
        </is>
      </c>
      <c r="B108" t="inlineStr">
        <is>
          <t>2023</t>
        </is>
      </c>
      <c r="C108" s="2">
        <v>45083</v>
      </c>
      <c r="D108" t="inlineStr">
        <is>
          <t>叶藏：
是绝望带我走到尽头
尽头之外却是空
平静地不再颤抖
心不再被操控
不流泪 不索求
不挣扎 不挽留
唯一的光源已经熄灭
天真它渐行渐远
凝视着她的凋谢
斩断所有悲切
雪落下又蒸发
风去哪都随它
难道这是对我的惩罚
让我投降
心此刻变得苍凉
任凭血液熙攘
我这一生短暂又漫长
被绝望囚禁
若避开猛烈的狂喜
悲痛不会来袭
生命终将会走到尽头
才发觉两手空空
一生好像在迷宫
无人将我拯救
看不见我的痛
无人为我停留
灵魂早已破碎
早已别无所求</t>
        </is>
      </c>
      <c r="E108"/>
      <c r="F108"/>
      <c r="G108" t="inlineStr">
        <is>
          <t>音乐剧, 人间失格</t>
        </is>
      </c>
      <c r="H108" s="3"/>
      <c r="I108" s="3"/>
      <c r="J108" t="inlineStr">
        <is>
          <t>分享白举纲的单曲《重逢之前 If I Had To Do It All Again》: https://y.music.163.com/m/song?id=2052441239&amp;userid=1316898734&amp;dlt=0846 (来自@网易云音乐)</t>
        </is>
      </c>
      <c r="K108"/>
      <c r="L108"/>
      <c r="M108" t="inlineStr">
        <is>
          <t>image.png</t>
        </is>
      </c>
      <c r="N108" t="inlineStr">
        <is>
          <t>初创演员</t>
        </is>
      </c>
      <c r="O108" s="3"/>
      <c r="P108"/>
      <c r="Q108" s="3"/>
      <c r="R108"/>
    </row>
    <row r="109" ht="25.5" customHeight="1">
      <c r="A109" t="inlineStr">
        <is>
          <t>书中巡礼 虚构之春 At the Door&amp;NLH Reprise&amp;In My Own Way Reprise</t>
        </is>
      </c>
      <c r="B109" t="inlineStr">
        <is>
          <t>2023</t>
        </is>
      </c>
      <c r="C109" s="2">
        <v>45083</v>
      </c>
      <c r="D109" t="inlineStr">
        <is>
          <t>太宰治：
我想要勇敢
梅勒斯：
我因此被写下
太宰治：
即使渺小也想改变
和子：
成为我的夙愿
太宰治：
如果无法改变
我：
也想要说抱歉
太宰治：
但我好爱这个世界
女生徒：
就算无人理解
歌队：
如果你会失望
他一定早已遍体鳞伤
人间将你刺痛
却让他历尽沧桑
太宰治&amp;叶藏合：
是我做错了吗
我做错了吗
如果留下真实被认定为荒唐
如果想要被爱也是种奢望
那或许是真的错了
歌队：
可我们的存在
难道是荒唐
尘埃就算渺小也希望被需要
这世间却只有他听见呼唤
为弱者写下篇章
太宰治：
我请求你原谅
请求你原谅
太宰治&amp;歌队合：
故事会结束我们却依然在呐喊
以永恒的存在向世界传达
来自弱者的力量
叶藏：
我终于能明白
为何而存在
若要定义罪孽
我已然心甘情愿
如果我的罪孽
注定被书写
我想要在世间
留下最真实的重现
合：
羞耻的罪孽
它就在世间
坦白所有弱点
不需要感到抱歉
这羞耻的罪孽
无需再改编
留下最真实的重现
太宰治：
风很温柔
雪会消融
留下温暖
伴着人间烟火
叶藏：
没有冷 没有伤 没有痛 只有洒脱
流星一样划过
太宰治：
会有人抬起头 看见它一生的斑驳
合：
雨落下 飘散在 春天的 每一朵花
那是我
叶藏：
一颗尘埃
坠落人海
等待云消雾散
太宰治：
冬去春来
尘埃等到了花开
合：
迎着阳光盛开</t>
        </is>
      </c>
      <c r="E109"/>
      <c r="F109"/>
      <c r="G109" t="inlineStr">
        <is>
          <t>音乐剧, 人间失格</t>
        </is>
      </c>
      <c r="H109" s="3"/>
      <c r="I109" s="3"/>
      <c r="J109" t="inlineStr">
        <is>
          <t>分享白举纲/刘令飞的单曲《书中巡礼 虚构之春 At the Door&amp;NLH Reprise&amp;In My Own Way Reprise》: https://y.music.163.com/m/song?id=2052441238&amp;userid=1316898734&amp;dlt=0846 (来自@网易云音乐)</t>
        </is>
      </c>
      <c r="K109"/>
      <c r="L109" t="inlineStr">
        <is>
          <t>刘令飞</t>
        </is>
      </c>
      <c r="M109" t="inlineStr">
        <is>
          <t>image.png</t>
        </is>
      </c>
      <c r="N109" t="inlineStr">
        <is>
          <t>初创演员</t>
        </is>
      </c>
      <c r="O109" s="3"/>
      <c r="P109"/>
      <c r="Q109" s="3"/>
      <c r="R109"/>
    </row>
    <row r="110" ht="25.5" customHeight="1">
      <c r="A110" t="inlineStr">
        <is>
          <t>胡曼黎</t>
        </is>
      </c>
      <c r="B110" t="inlineStr">
        <is>
          <t>2025</t>
        </is>
      </c>
      <c r="C110" s="2">
        <v>45764</v>
      </c>
      <c r="D110"/>
      <c r="E110" t="inlineStr">
        <is>
          <t>《蛮好的人生》电视剧片头曲</t>
        </is>
      </c>
      <c r="F110"/>
      <c r="G110" t="inlineStr">
        <is>
          <t>原声带</t>
        </is>
      </c>
      <c r="H110" s="3" t="str">
        <f>=HYPERLINK("https://weibo.com/tv/show/1034:5155482113867817?from=old_pc_videoshow", "MV")</f>
        <v>MV</v>
      </c>
      <c r="I110" s="3"/>
      <c r="J110" t="inlineStr">
        <is>
          <t>白举纲《胡曼黎》https://c6.y.qq.com/base/fcgi-bin/u?__=8GF8lqLOMLeo @QQ音乐</t>
        </is>
      </c>
      <c r="K110"/>
      <c r="L110"/>
      <c r="M110" t="inlineStr">
        <is>
          <t>image.png</t>
        </is>
      </c>
      <c r="N110" t="inlineStr">
        <is>
          <t>演唱</t>
        </is>
      </c>
      <c r="O110" s="3"/>
      <c r="P110"/>
      <c r="Q110" s="3"/>
      <c r="R110"/>
    </row>
    <row r="111" ht="25.5" customHeight="1">
      <c r="A111" t="inlineStr">
        <is>
          <t>不灭</t>
        </is>
      </c>
      <c r="B111" t="inlineStr">
        <is>
          <t>2025</t>
        </is>
      </c>
      <c r="C111" s="2">
        <v>45932</v>
      </c>
      <c r="D111"/>
      <c r="E111" t="inlineStr">
        <is>
          <t>《完美世界》第六季片头曲</t>
        </is>
      </c>
      <c r="F111"/>
      <c r="G111" t="inlineStr">
        <is>
          <t>非原创曲目</t>
        </is>
      </c>
      <c r="H111" s="3" t="str">
        <f>=HYPERLINK("https://weibo.com/7453780346/Q7hA8mia5", "MV")</f>
        <v>MV</v>
      </c>
      <c r="I111" s="3"/>
      <c r="J111" t="inlineStr">
        <is>
          <t>QQ音乐</t>
        </is>
      </c>
      <c r="K111"/>
      <c r="L111"/>
      <c r="M111" t="inlineStr">
        <is>
          <t>image.png</t>
        </is>
      </c>
      <c r="N111" t="inlineStr">
        <is>
          <t>演唱</t>
        </is>
      </c>
      <c r="O111" s="3"/>
      <c r="P111" t="inlineStr">
        <is>
          <t>《完美世界》第六季主题曲</t>
        </is>
      </c>
      <c r="Q111" s="3"/>
      <c r="R111"/>
    </row>
    <row r="112" ht="25.5" customHeight="1">
      <c r="A112" t="inlineStr">
        <is>
          <t>愿我成歌</t>
        </is>
      </c>
      <c r="B112" t="inlineStr">
        <is>
          <t>2025</t>
        </is>
      </c>
      <c r="C112" s="2">
        <v>45884</v>
      </c>
      <c r="D112"/>
      <c r="E112"/>
      <c r="F112"/>
      <c r="G112" t="inlineStr">
        <is>
          <t>非原创曲目</t>
        </is>
      </c>
      <c r="H112" s="3" t="str">
        <f>=HYPERLINK("https://c6.y.qq.com/base/fcgi-bin/u?__=sKQ8qdsDDBKp", "MV")</f>
        <v>MV</v>
      </c>
      <c r="I112" s="3" t="str">
        <f>=HYPERLINK("https://weibo.com/1638629382/PFXjTaA3i", "MV")</f>
        <v>MV</v>
      </c>
      <c r="J112"/>
      <c r="K112"/>
      <c r="L112"/>
      <c r="M112" t="inlineStr">
        <is>
          <t>IMG_20260313_123654.jpg</t>
        </is>
      </c>
      <c r="N112" t="inlineStr">
        <is>
          <t>演唱</t>
        </is>
      </c>
      <c r="O112" s="3"/>
      <c r="P112" t="inlineStr">
        <is>
          <t>湖南卫视中国人民抗日战争暨世界反法西斯战争胜利80周年主题歌曲</t>
        </is>
      </c>
      <c r="Q112" s="3"/>
      <c r="R112"/>
    </row>
    <row r="113" ht="25.5" customHeight="1">
      <c r="A113" t="inlineStr">
        <is>
          <t>困住 Looking For Me</t>
        </is>
      </c>
      <c r="B113" t="inlineStr">
        <is>
          <t>2025</t>
        </is>
      </c>
      <c r="C113" s="2">
        <v>45740</v>
      </c>
      <c r="D113"/>
      <c r="E113"/>
      <c r="F113"/>
      <c r="G113" t="inlineStr">
        <is>
          <t>音乐剧, 人间失格</t>
        </is>
      </c>
      <c r="H113" s="3"/>
      <c r="I113" s="3"/>
      <c r="J113" t="inlineStr">
        <is>
          <t>网易云音乐</t>
        </is>
      </c>
      <c r="K113"/>
      <c r="L113"/>
      <c r="M113" t="inlineStr">
        <is>
          <t>image.png</t>
        </is>
      </c>
      <c r="N113" t="inlineStr">
        <is>
          <t>演唱</t>
        </is>
      </c>
      <c r="O113" s="3"/>
      <c r="P113" t="inlineStr">
        <is>
          <t>《人间失格》音乐剧</t>
        </is>
      </c>
      <c r="Q113" s="3"/>
      <c r="R113"/>
    </row>
    <row r="114" ht="25.5" customHeight="1">
      <c r="A114" t="inlineStr">
        <is>
          <t xml:space="preserve">是我 </t>
        </is>
      </c>
      <c r="B114" t="inlineStr">
        <is>
          <t>2024</t>
        </is>
      </c>
      <c r="C114" s="2">
        <v>45555</v>
      </c>
      <c r="D114"/>
      <c r="E114" t="inlineStr">
        <is>
          <t>电影《野孩子》片尾曲</t>
        </is>
      </c>
      <c r="F114"/>
      <c r="G114" t="inlineStr">
        <is>
          <t>原声带</t>
        </is>
      </c>
      <c r="H114" s="3"/>
      <c r="I114" s="3"/>
      <c r="J114" t="inlineStr">
        <is>
          <t>网易云音乐</t>
        </is>
      </c>
      <c r="K114"/>
      <c r="L114"/>
      <c r="M114" t="inlineStr">
        <is>
          <t>image.png</t>
        </is>
      </c>
      <c r="N114" t="inlineStr">
        <is>
          <t>演唱</t>
        </is>
      </c>
      <c r="O114" s="3"/>
      <c r="P114" t="inlineStr">
        <is>
          <t>《野孩子》片尾曲</t>
        </is>
      </c>
      <c r="Q114" s="3"/>
      <c r="R114"/>
    </row>
    <row r="115" ht="25.5" customHeight="1">
      <c r="A115" t="inlineStr">
        <is>
          <t>风来的方向</t>
        </is>
      </c>
      <c r="B115" t="inlineStr">
        <is>
          <t>2024</t>
        </is>
      </c>
      <c r="C115" s="2">
        <v>45550</v>
      </c>
      <c r="D115"/>
      <c r="E115"/>
      <c r="F115"/>
      <c r="G115" t="inlineStr">
        <is>
          <t>非原创曲目</t>
        </is>
      </c>
      <c r="H115" s="3"/>
      <c r="I115" s="3"/>
      <c r="J115" t="inlineStr">
        <is>
          <t>QQ音乐</t>
        </is>
      </c>
      <c r="K115"/>
      <c r="L115" t="inlineStr">
        <is>
          <t>胡夏 希林娜依·高 陆虎</t>
        </is>
      </c>
      <c r="M115" t="inlineStr">
        <is>
          <t>image.png</t>
        </is>
      </c>
      <c r="N115" t="inlineStr">
        <is>
          <t>演唱</t>
        </is>
      </c>
      <c r="O115" s="3"/>
      <c r="P115" t="inlineStr">
        <is>
          <t>《乐在旅途》主题曲</t>
        </is>
      </c>
      <c r="Q115" s="3"/>
      <c r="R115"/>
    </row>
    <row r="116" ht="25.5" customHeight="1">
      <c r="A116" t="inlineStr">
        <is>
          <t>炽烈</t>
        </is>
      </c>
      <c r="B116" t="inlineStr">
        <is>
          <t>2024</t>
        </is>
      </c>
      <c r="C116" s="2">
        <v>45506</v>
      </c>
      <c r="D116"/>
      <c r="E116" t="inlineStr">
        <is>
          <t>《第一序列》 动画片头曲</t>
        </is>
      </c>
      <c r="F116"/>
      <c r="G116" t="inlineStr">
        <is>
          <t>原声带</t>
        </is>
      </c>
      <c r="H116" s="3" t="str">
        <f>=HYPERLINK("https://www.bilibili.com/video/BV1XPiMefEoJ/?spm_id_from=333.337.search-card.all.click&amp;vd_source=922502ab94739933a7990f2bd7c740c9", "MV")</f>
        <v>MV</v>
      </c>
      <c r="I116" s="3"/>
      <c r="J116"/>
      <c r="K116"/>
      <c r="L116"/>
      <c r="M116" t="inlineStr">
        <is>
          <t>IMG_20260313_124420.jpg</t>
        </is>
      </c>
      <c r="N116" t="inlineStr">
        <is>
          <t>作曲（合作创作）</t>
        </is>
      </c>
      <c r="O116" s="3"/>
      <c r="P116" t="inlineStr">
        <is>
          <t>动漫《神墓》2片头曲</t>
        </is>
      </c>
      <c r="Q116" s="3"/>
      <c r="R116"/>
    </row>
    <row r="117" ht="25.5" customHeight="1">
      <c r="A117" t="inlineStr">
        <is>
          <t>解嘲</t>
        </is>
      </c>
      <c r="B117" t="inlineStr">
        <is>
          <t>2022</t>
        </is>
      </c>
      <c r="C117" s="2">
        <v>44788</v>
      </c>
      <c r="D117"/>
      <c r="E117"/>
      <c r="F117"/>
      <c r="G117" t="inlineStr">
        <is>
          <t>非原创曲目</t>
        </is>
      </c>
      <c r="H117" s="3"/>
      <c r="I117" s="3"/>
      <c r="J117" t="inlineStr">
        <is>
          <t>网易云音乐</t>
        </is>
      </c>
      <c r="K117"/>
      <c r="L117"/>
      <c r="M117" t="inlineStr">
        <is>
          <t>-883535215.jpg</t>
        </is>
      </c>
      <c r="N117" t="inlineStr">
        <is>
          <t>演唱</t>
        </is>
      </c>
      <c r="O117" s="3"/>
      <c r="P117" t="inlineStr">
        <is>
          <t>电视剧《冰雨火》插曲</t>
        </is>
      </c>
      <c r="Q117" s="3"/>
      <c r="R117"/>
    </row>
    <row r="118" ht="25.5" customHeight="1">
      <c r="A118" t="inlineStr">
        <is>
          <t>寻一页星光</t>
        </is>
      </c>
      <c r="B118" t="inlineStr">
        <is>
          <t>2022</t>
        </is>
      </c>
      <c r="C118" s="2">
        <v>44738</v>
      </c>
      <c r="D118"/>
      <c r="E118"/>
      <c r="F118"/>
      <c r="G118" t="inlineStr">
        <is>
          <t>非原创曲目</t>
        </is>
      </c>
      <c r="H118" s="3" t="str">
        <f>=HYPERLINK("https://y.music.163.com/m/song?app_version=8.7.65&amp;id=1958949861&amp;userid=271868070&amp;dlt=0846#?thirdfrom=sina", "合唱版")</f>
        <v>合唱版</v>
      </c>
      <c r="I118" s="3"/>
      <c r="J118" t="inlineStr">
        <is>
          <t>单人版</t>
        </is>
      </c>
      <c r="K118"/>
      <c r="L118"/>
      <c r="M118" t="inlineStr">
        <is>
          <t>image.png</t>
        </is>
      </c>
      <c r="N118" t="inlineStr">
        <is>
          <t>制作人</t>
        </is>
      </c>
      <c r="O118" s="3"/>
      <c r="P118" t="inlineStr">
        <is>
          <t>《还有诗和远方3》 主题曲</t>
        </is>
      </c>
      <c r="Q118" s="3"/>
      <c r="R118"/>
    </row>
    <row r="119" ht="25.5" customHeight="1">
      <c r="A119" t="inlineStr">
        <is>
          <t>北京说</t>
        </is>
      </c>
      <c r="B119" t="inlineStr">
        <is>
          <t>2022</t>
        </is>
      </c>
      <c r="C119" s="2">
        <v>44623</v>
      </c>
      <c r="D119"/>
      <c r="E119"/>
      <c r="F119"/>
      <c r="G119" t="inlineStr">
        <is>
          <t>非原创曲目</t>
        </is>
      </c>
      <c r="H119" s="3" t="str">
        <f>=HYPERLINK("https://weibo.com/tv/show/1034:4743011507306553?from=old_pc_videoshow", "MV")</f>
        <v>MV</v>
      </c>
      <c r="I119" s="3"/>
      <c r="J119" t="inlineStr">
        <is>
          <t>QQ音乐</t>
        </is>
      </c>
      <c r="K119"/>
      <c r="L119" t="inlineStr">
        <is>
          <t>黄磊 黄少艾 宋轶 张一山 刘惜君 于谦</t>
        </is>
      </c>
      <c r="M119" t="inlineStr">
        <is>
          <t>image.png</t>
        </is>
      </c>
      <c r="N119" t="inlineStr">
        <is>
          <t>演唱</t>
        </is>
      </c>
      <c r="O119" s="3"/>
      <c r="P119" t="inlineStr">
        <is>
          <t>2022北京冬奥会</t>
        </is>
      </c>
      <c r="Q119" s="3"/>
      <c r="R119"/>
    </row>
    <row r="120" ht="25.5" customHeight="1">
      <c r="A120" t="inlineStr">
        <is>
          <t>我的青春不后悔</t>
        </is>
      </c>
      <c r="B120" t="inlineStr">
        <is>
          <t>2022</t>
        </is>
      </c>
      <c r="C120" s="2">
        <v>44591</v>
      </c>
      <c r="D120"/>
      <c r="E120"/>
      <c r="F120"/>
      <c r="G120" t="inlineStr">
        <is>
          <t>非原创曲目</t>
        </is>
      </c>
      <c r="H120" s="3"/>
      <c r="I120" s="3"/>
      <c r="J120" t="inlineStr">
        <is>
          <t>网易云音乐</t>
        </is>
      </c>
      <c r="K120"/>
      <c r="L120" t="inlineStr">
        <is>
          <t>张晋 林允 许佳琪</t>
        </is>
      </c>
      <c r="M120" t="inlineStr">
        <is>
          <t>image.png</t>
        </is>
      </c>
      <c r="N120" t="inlineStr">
        <is>
          <t>演唱</t>
        </is>
      </c>
      <c r="O120" s="3"/>
      <c r="P120" t="inlineStr">
        <is>
          <t>奥运歌曲</t>
        </is>
      </c>
      <c r="Q120" s="3"/>
      <c r="R120"/>
    </row>
    <row r="121" ht="25.5" customHeight="1">
      <c r="A121" t="inlineStr">
        <is>
          <t>绝悟</t>
        </is>
      </c>
      <c r="B121" t="inlineStr">
        <is>
          <t>2022</t>
        </is>
      </c>
      <c r="C121" s="2">
        <v>44586</v>
      </c>
      <c r="D121"/>
      <c r="E121"/>
      <c r="F121"/>
      <c r="G121" t="inlineStr">
        <is>
          <t>非原创曲目</t>
        </is>
      </c>
      <c r="H121" s="3" t="str">
        <f>=HYPERLINK("https://www.kugou.com/share/1Tln161zvV3.html#66a955fd", "酷狗音乐")</f>
        <v>酷狗音乐</v>
      </c>
      <c r="I121" s="3" t="str">
        <f>=HYPERLINK("http://m.kuwo.cn/newh5app/play_detail/207248132", "酷我音乐")</f>
        <v>酷我音乐</v>
      </c>
      <c r="J121" t="inlineStr">
        <is>
          <t>QQ音乐</t>
        </is>
      </c>
      <c r="K121"/>
      <c r="L121"/>
      <c r="M121" t="inlineStr">
        <is>
          <t>image.png</t>
        </is>
      </c>
      <c r="N121" t="inlineStr">
        <is>
          <t>制作人</t>
        </is>
      </c>
      <c r="O121" s="3"/>
      <c r="P121" t="inlineStr">
        <is>
          <t>《龙蛇演义》片头曲</t>
        </is>
      </c>
      <c r="Q121" s="3"/>
      <c r="R121"/>
    </row>
    <row r="122" ht="25.5" customHeight="1">
      <c r="A122" t="inlineStr">
        <is>
          <t>人间失格</t>
        </is>
      </c>
      <c r="B122" t="inlineStr">
        <is>
          <t>2021</t>
        </is>
      </c>
      <c r="C122" s="2">
        <v>44487</v>
      </c>
      <c r="D122"/>
      <c r="E122"/>
      <c r="F122"/>
      <c r="G122" t="inlineStr">
        <is>
          <t>音乐剧, 人间失格</t>
        </is>
      </c>
      <c r="H122" s="3"/>
      <c r="I122" s="3"/>
      <c r="J122"/>
      <c r="K122"/>
      <c r="L122"/>
      <c r="M122" t="inlineStr">
        <is>
          <t>image.png</t>
        </is>
      </c>
      <c r="N122" t="inlineStr">
        <is>
          <t>演唱</t>
        </is>
      </c>
      <c r="O122" s="3"/>
      <c r="P122" t="inlineStr">
        <is>
          <t>《人间失格》音乐剧</t>
        </is>
      </c>
      <c r="Q122" s="3"/>
      <c r="R122"/>
    </row>
    <row r="123" ht="25.5" customHeight="1">
      <c r="A123" t="inlineStr">
        <is>
          <t>感谢每一个你</t>
        </is>
      </c>
      <c r="B123" t="inlineStr">
        <is>
          <t>2020</t>
        </is>
      </c>
      <c r="C123" s="2">
        <v>43890</v>
      </c>
      <c r="D123"/>
      <c r="E123"/>
      <c r="F123"/>
      <c r="G123" t="inlineStr">
        <is>
          <t>非原创曲目</t>
        </is>
      </c>
      <c r="H123" s="3"/>
      <c r="I123" s="3"/>
      <c r="J123" t="inlineStr">
        <is>
          <t>QQ音乐</t>
        </is>
      </c>
      <c r="K123"/>
      <c r="L123"/>
      <c r="M123" t="inlineStr">
        <is>
          <t>PlayerAlbumCover_18861864281773376713493.jpg</t>
        </is>
      </c>
      <c r="N123" t="inlineStr">
        <is>
          <t>演唱</t>
        </is>
      </c>
      <c r="O123" s="3"/>
      <c r="P123" t="inlineStr">
        <is>
          <t xml:space="preserve"> </t>
        </is>
      </c>
      <c r="Q123" s="3"/>
      <c r="R123"/>
    </row>
    <row r="124" ht="25.5" customHeight="1">
      <c r="A124" t="inlineStr">
        <is>
          <t>逆行者的光</t>
        </is>
      </c>
      <c r="B124" t="inlineStr">
        <is>
          <t>2020</t>
        </is>
      </c>
      <c r="C124" s="2">
        <v>43864</v>
      </c>
      <c r="D124"/>
      <c r="E124"/>
      <c r="F124"/>
      <c r="G124" t="inlineStr">
        <is>
          <t>非原创曲目</t>
        </is>
      </c>
      <c r="H124" s="3"/>
      <c r="I124" s="3"/>
      <c r="J124" t="inlineStr">
        <is>
          <t>分享白举纲/魏巡/计听然/金美辰/马嘉铭的单曲《逆行者的光》: https://y.music.163.com/m/song?id=1420349025&amp;userid=1316898734&amp;dlt=0846 (来自@网易云音乐)</t>
        </is>
      </c>
      <c r="K124"/>
      <c r="L124"/>
      <c r="M124" t="inlineStr">
        <is>
          <t>-1373093228.jpg</t>
        </is>
      </c>
      <c r="N124" t="inlineStr">
        <is>
          <t>演唱</t>
        </is>
      </c>
      <c r="O124" s="3"/>
      <c r="P124"/>
      <c r="Q124" s="3"/>
      <c r="R124"/>
    </row>
    <row r="125" ht="25.5" customHeight="1">
      <c r="A125" t="inlineStr">
        <is>
          <t>天意</t>
        </is>
      </c>
      <c r="B125" t="inlineStr">
        <is>
          <t>2018</t>
        </is>
      </c>
      <c r="C125" s="2">
        <v>43224</v>
      </c>
      <c r="D125"/>
      <c r="E125"/>
      <c r="F125"/>
      <c r="G125" t="inlineStr">
        <is>
          <t>非原创曲目</t>
        </is>
      </c>
      <c r="H125" s="3" t="str">
        <f>=HYPERLINK("https://fn.music.163.com/g/mlog/mlog-mobile/landing/mlog?id=a1gW6qqMei2GKAJ&amp;type=2&amp;userid=1316898734&amp;songId=557407053&amp;startTime=0&amp;eventId=20861045647", "MV")</f>
        <v>MV</v>
      </c>
      <c r="I125" s="3"/>
      <c r="J125" t="inlineStr">
        <is>
          <t>网易云音乐</t>
        </is>
      </c>
      <c r="K125"/>
      <c r="L125"/>
      <c r="M125" t="inlineStr">
        <is>
          <t>image.png</t>
        </is>
      </c>
      <c r="N125" t="inlineStr">
        <is>
          <t>演唱</t>
        </is>
      </c>
      <c r="O125" s="3"/>
      <c r="P125" t="inlineStr">
        <is>
          <t>《天意》网络剧主题曲</t>
        </is>
      </c>
      <c r="Q125" s="3"/>
      <c r="R125"/>
    </row>
    <row r="126" ht="25.5" customHeight="1">
      <c r="A126" t="inlineStr">
        <is>
          <t>陪你的路</t>
        </is>
      </c>
      <c r="B126" t="inlineStr">
        <is>
          <t>2018</t>
        </is>
      </c>
      <c r="C126" s="2">
        <v>43188</v>
      </c>
      <c r="D126"/>
      <c r="E126"/>
      <c r="F126"/>
      <c r="G126" t="inlineStr">
        <is>
          <t>非原创曲目</t>
        </is>
      </c>
      <c r="H126" s="3"/>
      <c r="I126" s="3"/>
      <c r="J126" t="inlineStr">
        <is>
          <t>网易云音乐</t>
        </is>
      </c>
      <c r="K126"/>
      <c r="L126"/>
      <c r="M126" t="inlineStr">
        <is>
          <t>image.png</t>
        </is>
      </c>
      <c r="N126" t="inlineStr">
        <is>
          <t>演唱</t>
        </is>
      </c>
      <c r="O126" s="3"/>
      <c r="P126" t="inlineStr">
        <is>
          <t>《生机无限》主题曲</t>
        </is>
      </c>
      <c r="Q126" s="3"/>
      <c r="R126"/>
    </row>
    <row r="127" ht="25.5" customHeight="1">
      <c r="A127" t="inlineStr">
        <is>
          <t>闪亮的爸爸</t>
        </is>
      </c>
      <c r="B127" t="inlineStr">
        <is>
          <t>2017</t>
        </is>
      </c>
      <c r="C127" s="2">
        <v>42849</v>
      </c>
      <c r="D127"/>
      <c r="E127"/>
      <c r="F127"/>
      <c r="G127" t="inlineStr">
        <is>
          <t>非原创曲目</t>
        </is>
      </c>
      <c r="H127" s="3" t="str">
        <f>=HYPERLINK("https://c6.y.qq.com/base/fcgi-bin/u?__=6kod78sDDkOl", "MV")</f>
        <v>MV</v>
      </c>
      <c r="I127" s="3"/>
      <c r="J127" t="inlineStr">
        <is>
          <t>QQ音乐</t>
        </is>
      </c>
      <c r="K127"/>
      <c r="L127"/>
      <c r="M127" t="inlineStr">
        <is>
          <t>image.png</t>
        </is>
      </c>
      <c r="N127" t="inlineStr">
        <is>
          <t>演唱</t>
        </is>
      </c>
      <c r="O127" s="3"/>
      <c r="P127" t="inlineStr">
        <is>
          <t>《闪亮的爸爸》第二季主题曲</t>
        </is>
      </c>
      <c r="Q127" s="3"/>
      <c r="R127"/>
    </row>
    <row r="128" ht="25.5" customHeight="1">
      <c r="A128" t="inlineStr">
        <is>
          <t>随我</t>
        </is>
      </c>
      <c r="B128" t="inlineStr">
        <is>
          <t>2017</t>
        </is>
      </c>
      <c r="C128" s="2">
        <v>42842</v>
      </c>
      <c r="D128"/>
      <c r="E128"/>
      <c r="F128"/>
      <c r="G128" t="inlineStr">
        <is>
          <t>非原创曲目</t>
        </is>
      </c>
      <c r="H128" s="3" t="str">
        <f>=HYPERLINK("https://music.163.com/mv?id=5483151", "MV")</f>
        <v>MV</v>
      </c>
      <c r="I128" s="3"/>
      <c r="J128" t="inlineStr">
        <is>
          <t>网易云音乐</t>
        </is>
      </c>
      <c r="K128"/>
      <c r="L128" t="inlineStr">
        <is>
          <t>华晨宇/宁桓宇/白举纲/于湉/张阳阳/饶威/左立/范世锜/居来提</t>
        </is>
      </c>
      <c r="M128" t="inlineStr">
        <is>
          <t>image.png</t>
        </is>
      </c>
      <c r="N128" t="inlineStr">
        <is>
          <t>演唱</t>
        </is>
      </c>
      <c r="O128" s="3"/>
      <c r="P128" t="inlineStr">
        <is>
          <t>《2017快乐男声》主题曲</t>
        </is>
      </c>
      <c r="Q128" s="3"/>
      <c r="R128"/>
    </row>
    <row r="129" ht="25.5" customHeight="1">
      <c r="A129" t="inlineStr">
        <is>
          <t>出发吧我们</t>
        </is>
      </c>
      <c r="B129" t="inlineStr">
        <is>
          <t>2017</t>
        </is>
      </c>
      <c r="C129" s="2">
        <v>42785</v>
      </c>
      <c r="D129"/>
      <c r="E129"/>
      <c r="F129"/>
      <c r="G129" t="inlineStr">
        <is>
          <t>非原创曲目</t>
        </is>
      </c>
      <c r="H129" s="3" t="str">
        <f>=HYPERLINK("https://music.163.com/mv?id=5434500", "MV")</f>
        <v>MV</v>
      </c>
      <c r="I129" s="3" t="str">
        <f>=HYPERLINK("https://163cn.tv/20zNRCj", "网易云音乐")</f>
        <v>网易云音乐</v>
      </c>
      <c r="J129" t="inlineStr">
        <is>
          <t>QQ音乐</t>
        </is>
      </c>
      <c r="K129"/>
      <c r="L129" t="inlineStr">
        <is>
          <t>宁桓宇</t>
        </is>
      </c>
      <c r="M129" t="inlineStr">
        <is>
          <t>image.png</t>
        </is>
      </c>
      <c r="N129" t="inlineStr">
        <is>
          <t>演唱</t>
        </is>
      </c>
      <c r="O129" s="3"/>
      <c r="P129" t="inlineStr">
        <is>
          <t>《出发吧我们》主题曲</t>
        </is>
      </c>
      <c r="Q129" s="3"/>
      <c r="R129"/>
    </row>
    <row r="130" ht="25.5" customHeight="1">
      <c r="A130" t="inlineStr">
        <is>
          <t>一首热血的歌</t>
        </is>
      </c>
      <c r="B130" t="inlineStr">
        <is>
          <t>2016</t>
        </is>
      </c>
      <c r="C130" s="2">
        <v>42614</v>
      </c>
      <c r="D130"/>
      <c r="E130"/>
      <c r="F130"/>
      <c r="G130" t="inlineStr">
        <is>
          <t>非原创曲目</t>
        </is>
      </c>
      <c r="H130" s="3"/>
      <c r="I130" s="3"/>
      <c r="J130" t="inlineStr">
        <is>
          <t>QQ音乐</t>
        </is>
      </c>
      <c r="K130"/>
      <c r="L130" t="inlineStr">
        <is>
          <t>于湉</t>
        </is>
      </c>
      <c r="M130" t="inlineStr">
        <is>
          <t>image.png</t>
        </is>
      </c>
      <c r="N130" t="inlineStr">
        <is>
          <t>演唱</t>
        </is>
      </c>
      <c r="O130" s="3"/>
      <c r="P130" t="inlineStr">
        <is>
          <t>《超星星学园》网络剧开学主题曲</t>
        </is>
      </c>
      <c r="Q130" s="3"/>
      <c r="R130"/>
    </row>
    <row r="131" ht="25.5" customHeight="1">
      <c r="A131" t="inlineStr">
        <is>
          <t>永恒的信仰</t>
        </is>
      </c>
      <c r="B131" t="inlineStr">
        <is>
          <t>2016</t>
        </is>
      </c>
      <c r="C131" s="2">
        <v>42563</v>
      </c>
      <c r="D131"/>
      <c r="E131"/>
      <c r="F131"/>
      <c r="G131" t="inlineStr">
        <is>
          <t>非原创曲目</t>
        </is>
      </c>
      <c r="H131" s="3" t="str">
        <f>=HYPERLINK("https://m.bilibili.com/video/BV1ax411E7GR?buvid=XUBE5E7B24BF5BF0AEFAEF9D9D55FC304E0A1&amp;from_spmid=main.space-contribution.0.0&amp;is_story_h5=false&amp;mid=2DWe03PLy63ujkeS2PwI0Q%3D%3D&amp;p=9&amp;plat_id=116&amp;share_from=ugc&amp;share_medium=android&amp;share_plat=android&amp;share_session_id=d20874c5-2529-4cbd-a39e-df4b76bf0e1b&amp;share_source=WEIXIN&amp;share_tag=s_i&amp;spmid=united.player-video-detail.0.0&amp;timestamp=1773254645&amp;unique_k=04deAGC&amp;up_id=143566529", "MV")</f>
        <v>MV</v>
      </c>
      <c r="I131" s="3"/>
      <c r="J131" t="inlineStr">
        <is>
          <t>网易云音乐</t>
        </is>
      </c>
      <c r="K131"/>
      <c r="L131"/>
      <c r="M131" t="inlineStr">
        <is>
          <t>604350292.jpg</t>
        </is>
      </c>
      <c r="N131" t="inlineStr">
        <is>
          <t>演唱</t>
        </is>
      </c>
      <c r="O131" s="3"/>
      <c r="P131"/>
      <c r="Q131" s="3"/>
      <c r="R131"/>
    </row>
    <row r="132" ht="25.5" customHeight="1">
      <c r="A132" t="inlineStr">
        <is>
          <t>生命</t>
        </is>
      </c>
      <c r="B132" t="inlineStr">
        <is>
          <t>2015</t>
        </is>
      </c>
      <c r="C132" s="2">
        <v>42161</v>
      </c>
      <c r="D132"/>
      <c r="E132"/>
      <c r="F132"/>
      <c r="G132" t="inlineStr">
        <is>
          <t>非原创曲目</t>
        </is>
      </c>
      <c r="H132" s="3" t="str">
        <f>=HYPERLINK("https://fn.music.163.com/g/mlog/mlog-mobile/landing/mv?id=420224&amp;userid=1316898734", "MV")</f>
        <v>MV</v>
      </c>
      <c r="I132" s="3"/>
      <c r="J132" t="inlineStr">
        <is>
          <t>网易云音乐</t>
        </is>
      </c>
      <c r="K132"/>
      <c r="L132"/>
      <c r="M132" t="inlineStr">
        <is>
          <t>1976594513.jpg</t>
        </is>
      </c>
      <c r="N132" t="inlineStr">
        <is>
          <t>演唱</t>
        </is>
      </c>
      <c r="O132" s="3"/>
      <c r="P132" t="inlineStr">
        <is>
          <t>国际禁毒日宣传曲</t>
        </is>
      </c>
      <c r="Q132" s="3"/>
      <c r="R132"/>
    </row>
    <row r="133" ht="25.5" customHeight="1">
      <c r="A133" t="inlineStr">
        <is>
          <t>就这Young</t>
        </is>
      </c>
      <c r="B133" t="inlineStr">
        <is>
          <t>2015</t>
        </is>
      </c>
      <c r="C133" s="2">
        <v>42044</v>
      </c>
      <c r="D133"/>
      <c r="E133"/>
      <c r="F133"/>
      <c r="G133" t="inlineStr">
        <is>
          <t>非原创曲目</t>
        </is>
      </c>
      <c r="H133" s="3" t="str">
        <f>=HYPERLINK("https://163cn.tv/20AVMcc", "网易云音乐")</f>
        <v>网易云音乐</v>
      </c>
      <c r="I133" s="3"/>
      <c r="J133"/>
      <c r="K133"/>
      <c r="L133"/>
      <c r="M133" t="inlineStr">
        <is>
          <t>-1796424290.jpg</t>
        </is>
      </c>
      <c r="N133" t="inlineStr">
        <is>
          <t>演唱</t>
        </is>
      </c>
      <c r="O133" s="3"/>
      <c r="P133" t="inlineStr">
        <is>
          <t>2013快男巡演主题歌</t>
        </is>
      </c>
      <c r="Q133" s="3"/>
      <c r="R133"/>
    </row>
    <row r="134" ht="25.5" customHeight="1">
      <c r="A134" t="inlineStr">
        <is>
          <t>每一颗星辰</t>
        </is>
      </c>
      <c r="B134" t="inlineStr">
        <is>
          <t>2014</t>
        </is>
      </c>
      <c r="C134" s="2">
        <v>41813</v>
      </c>
      <c r="D134"/>
      <c r="E134"/>
      <c r="F134"/>
      <c r="G134" t="inlineStr">
        <is>
          <t>非原创曲目</t>
        </is>
      </c>
      <c r="H134" s="3" t="str">
        <f>=HYPERLINK("https://fn.music.163.com/g/mlog/mlog-mobile/landing/mv?id=284077&amp;userid=1316898734", "MV")</f>
        <v>MV</v>
      </c>
      <c r="I134" s="3"/>
      <c r="J134" t="inlineStr">
        <is>
          <t>网易云音乐</t>
        </is>
      </c>
      <c r="K134"/>
      <c r="L134"/>
      <c r="M134" t="inlineStr">
        <is>
          <t>1157156208.jpg</t>
        </is>
      </c>
      <c r="N134" t="inlineStr">
        <is>
          <t>演唱</t>
        </is>
      </c>
      <c r="O134" s="3"/>
      <c r="P134" t="inlineStr">
        <is>
          <t>《我就是我》电影主题曲</t>
        </is>
      </c>
      <c r="Q134" s="3"/>
      <c r="R134"/>
    </row>
    <row r="135" ht="25.5" customHeight="1">
      <c r="A135" t="inlineStr">
        <is>
          <t>战江湖</t>
        </is>
      </c>
      <c r="B135" t="inlineStr">
        <is>
          <t>2014</t>
        </is>
      </c>
      <c r="C135" s="2">
        <v>41715</v>
      </c>
      <c r="D135"/>
      <c r="E135"/>
      <c r="F135"/>
      <c r="G135" t="inlineStr">
        <is>
          <t>非原创曲目</t>
        </is>
      </c>
      <c r="H135" s="3" t="str">
        <f>=HYPERLINK("https://163cn.tv/20z0tAm", "网易云音乐")</f>
        <v>网易云音乐</v>
      </c>
      <c r="I135" s="3"/>
      <c r="J135" t="inlineStr">
        <is>
          <t>QQ音乐</t>
        </is>
      </c>
      <c r="K135"/>
      <c r="L135" t="inlineStr">
        <is>
          <t>陈坤</t>
        </is>
      </c>
      <c r="M135" t="inlineStr">
        <is>
          <t>image.png</t>
        </is>
      </c>
      <c r="N135" t="inlineStr">
        <is>
          <t>演唱</t>
        </is>
      </c>
      <c r="O135" s="3"/>
      <c r="P135" t="inlineStr">
        <is>
          <t>《刀剑2》网游主题曲</t>
        </is>
      </c>
      <c r="Q135" s="3"/>
      <c r="R135"/>
    </row>
    <row r="136" ht="25.5" customHeight="1">
      <c r="A136" t="inlineStr">
        <is>
          <t>青春再见</t>
        </is>
      </c>
      <c r="B136" t="inlineStr">
        <is>
          <t>2013</t>
        </is>
      </c>
      <c r="C136" s="2">
        <v>41600</v>
      </c>
      <c r="D136"/>
      <c r="E136"/>
      <c r="F136"/>
      <c r="G136" t="inlineStr">
        <is>
          <t>非原创曲目</t>
        </is>
      </c>
      <c r="H136" s="3" t="str">
        <f>=HYPERLINK("https://m.bilibili.com/video/BV1xV411e7ty?buvid=XUBE5E7B24BF5BF0AEFAEF9D9D55FC304E0A1&amp;from_spmid=search.search-result.0.0&amp;is_story_h5=false&amp;mid=2DWe03PLy63ujkeS2PwI0Q%3D%3D&amp;p=1&amp;plat_id=116&amp;share_from=ugc&amp;share_medium=android&amp;share_plat=android&amp;share_session_id=b6830d4d-c8e0-4474-8277-cf7a59eca2fc&amp;share_source=WEIXIN&amp;share_tag=s_i&amp;spmid=united.player-video-detail.0.0&amp;timestamp=1773249854&amp;unique_k=o8JYbQ3&amp;up_id=382956149", "MV")</f>
        <v>MV</v>
      </c>
      <c r="I136" s="3"/>
      <c r="J136" t="inlineStr">
        <is>
          <t>网易云音乐</t>
        </is>
      </c>
      <c r="K136"/>
      <c r="L136"/>
      <c r="M136" t="inlineStr">
        <is>
          <t>1401287177.jpg</t>
        </is>
      </c>
      <c r="N136" t="inlineStr">
        <is>
          <t>演唱</t>
        </is>
      </c>
      <c r="O136" s="3"/>
      <c r="P136" t="inlineStr">
        <is>
          <t>《怒放2013》主题曲</t>
        </is>
      </c>
      <c r="Q136" s="3"/>
      <c r="R136"/>
    </row>
    <row r="137" ht="25.5" customHeight="1">
      <c r="A137" t="inlineStr">
        <is>
          <t>Hi！自由</t>
        </is>
      </c>
      <c r="B137" t="inlineStr">
        <is>
          <t>2013</t>
        </is>
      </c>
      <c r="C137" s="2">
        <v>41600</v>
      </c>
      <c r="D137" t="inlineStr">
        <is>
          <t>跌跌撞撞在路上
只为心中的渴望
渴望不停地飞翔
是自由的向往
面对现实的重伤
内心有一种信仰
相信他给我力量
让生命灿烂绽放
Hi wo…自由
Hi wo…自由
Hi wo…自由
Hi wo…自由
跌跌撞撞在路上
只为心中的渴望
渴望不停地飞翔
是自由的向往 
面对现实的重伤
内心有一种信仰
相信他给我力量
让生命灿烂绽放 
Hi wo…自由
Hi wo…自由
Hi wo…自由
Hi wo…自由
Hi wo…自由
Hi wo…自由
Hi wo…自由
Hi wo…自由</t>
        </is>
      </c>
      <c r="E137" t="inlineStr">
        <is>
          <t>作词 / 作曲：卢庚戌</t>
        </is>
      </c>
      <c r="F137"/>
      <c r="G137" t="inlineStr">
        <is>
          <t>非原创曲目</t>
        </is>
      </c>
      <c r="H137" s="3" t="str">
        <f>=HYPERLINK("https://m.bilibili.com/video/BV1iE411L7e8?buvid=XUBE5E7B24BF5BF0AEFAEF9D9D55FC304E0A1&amp;from_spmid=search.search-result.0.0&amp;is_story_h5=false&amp;mid=2DWe03PLy63ujkeS2PwI0Q%3D%3D&amp;p=1&amp;plat_id=114&amp;share_from=ugc&amp;share_medium=android&amp;share_plat=android&amp;share_session_id=f64a9998-8257-4980-932c-0d3ce4abc1e0&amp;share_source=WEIXIN&amp;share_tag=s_i&amp;spmid=united.player-video-detail.0.0&amp;timestamp=1773249998&amp;unique_k=UR8N69k&amp;up_id=39114203", "MV")</f>
        <v>MV</v>
      </c>
      <c r="I137" s="3"/>
      <c r="J137" t="inlineStr">
        <is>
          <t>网易云音乐</t>
        </is>
      </c>
      <c r="K137"/>
      <c r="L137" t="inlineStr">
        <is>
          <t>华晨宇</t>
        </is>
      </c>
      <c r="M137" t="inlineStr">
        <is>
          <t>1401287177.jpg</t>
        </is>
      </c>
      <c r="N137" t="inlineStr">
        <is>
          <t>演唱</t>
        </is>
      </c>
      <c r="O137" s="3"/>
      <c r="P137" t="inlineStr">
        <is>
          <t>《怒放2013》插曲</t>
        </is>
      </c>
      <c r="Q137" s="3"/>
      <c r="R137"/>
    </row>
    <row r="138" ht="25.5" customHeight="1">
      <c r="A138" t="inlineStr">
        <is>
          <t>追梦赤子心</t>
        </is>
      </c>
      <c r="B138" t="inlineStr">
        <is>
          <t>2013</t>
        </is>
      </c>
      <c r="C138" s="2">
        <v>41560</v>
      </c>
      <c r="D138"/>
      <c r="E138"/>
      <c r="F138"/>
      <c r="G138" t="inlineStr">
        <is>
          <t>非原创曲目</t>
        </is>
      </c>
      <c r="H138" s="3" t="str">
        <f>=HYPERLINK("https://m.bilibili.com/video/BV1ax411E7GR?buvid=XUBE5E7B24BF5BF0AEFAEF9D9D55FC304E0A1&amp;from_spmid=main.space-contribution.0.0&amp;is_story_h5=false&amp;mid=2DWe03PLy63ujkeS2PwI0Q%3D%3D&amp;p=17&amp;plat_id=116&amp;share_from=ugc&amp;share_medium=android&amp;share_plat=android&amp;share_session_id=3c8d205a-03a0-4cf9-8905-fb1cf1cdb621&amp;share_source=WEIXIN&amp;share_tag=s_i&amp;spmid=united.player-video-detail.0.0&amp;timestamp=1773255458&amp;unique_k=gMJd9b5&amp;up_id=143566529", "MV")</f>
        <v>MV</v>
      </c>
      <c r="I138" s="3"/>
      <c r="J138" t="inlineStr">
        <is>
          <t>网易云音乐</t>
        </is>
      </c>
      <c r="K138"/>
      <c r="L138"/>
      <c r="M138" t="inlineStr">
        <is>
          <t>-611033923.jpg</t>
        </is>
      </c>
      <c r="N138" t="inlineStr">
        <is>
          <t>演唱</t>
        </is>
      </c>
      <c r="O138" s="3"/>
      <c r="P138" t="inlineStr">
        <is>
          <t>2013《快乐男声》主题曲</t>
        </is>
      </c>
      <c r="Q138" s="3"/>
      <c r="R138"/>
    </row>
    <row r="139" ht="25.5" customHeight="1">
      <c r="A139" t="inlineStr">
        <is>
          <t>注定</t>
        </is>
      </c>
      <c r="B139" t="inlineStr">
        <is>
          <t>2017</t>
        </is>
      </c>
      <c r="C139" s="2">
        <v>42837</v>
      </c>
      <c r="D139"/>
      <c r="E139"/>
      <c r="F139"/>
      <c r="G139" t="inlineStr">
        <is>
          <t>非原创曲目</t>
        </is>
      </c>
      <c r="H139" s="3"/>
      <c r="I139" s="3"/>
      <c r="J139" t="inlineStr">
        <is>
          <t>https://c6.y.qq.com/base/fcgi-bin/u?__=TYArQ5FMD16t</t>
        </is>
      </c>
      <c r="K139"/>
      <c r="L139" t="inlineStr">
        <is>
          <t>周笔畅</t>
        </is>
      </c>
      <c r="M139" t="inlineStr">
        <is>
          <t>image.png</t>
        </is>
      </c>
      <c r="N139" t="inlineStr">
        <is>
          <t>演唱</t>
        </is>
      </c>
      <c r="O139" s="3"/>
      <c r="P139" t="inlineStr">
        <is>
          <t>《择天记》片尾曲</t>
        </is>
      </c>
      <c r="Q139" s="3"/>
      <c r="R139"/>
    </row>
    <row r="140" ht="25.5" customHeight="1">
      <c r="A140" t="inlineStr">
        <is>
          <t>幸福是奋斗出来的</t>
        </is>
      </c>
      <c r="B140" t="inlineStr">
        <is>
          <t>2019</t>
        </is>
      </c>
      <c r="C140" s="2">
        <v>43589</v>
      </c>
      <c r="D140"/>
      <c r="E140"/>
      <c r="F140"/>
      <c r="G140" t="inlineStr">
        <is>
          <t>非原创曲目</t>
        </is>
      </c>
      <c r="H140" s="3"/>
      <c r="I140" s="3"/>
      <c r="J140" t="inlineStr">
        <is>
          <t>https://music.163.com/song?id=1992076687&amp;uct2=U2FsdGVkX19nVEMaF7d48M0bPX/+exlYpJhDTHgFPbE=</t>
        </is>
      </c>
      <c r="K140"/>
      <c r="L140" t="inlineStr">
        <is>
          <t>宁桓宇 于湉 张阳阳</t>
        </is>
      </c>
      <c r="M140" t="inlineStr">
        <is>
          <t>image.png</t>
        </is>
      </c>
      <c r="N140" t="inlineStr">
        <is>
          <t>演唱</t>
        </is>
      </c>
      <c r="O140" s="3"/>
      <c r="P140"/>
      <c r="Q140" s="3"/>
      <c r="R140"/>
    </row>
    <row r="141" ht="25.5" customHeight="1">
      <c r="A141" t="inlineStr">
        <is>
          <t>战律</t>
        </is>
      </c>
      <c r="B141" t="inlineStr">
        <is>
          <t>2026</t>
        </is>
      </c>
      <c r="C141" s="2">
        <v>46094</v>
      </c>
      <c r="D141" t="inlineStr">
        <is>
          <t>双面的气场
召唤异兽作我伙伴
时空里穿梭
传送星辰万丈
请尽管前往
那险恶全由我来挡
不需要躲闪
箭阵为你护航
右手握住了月光
冰雷之力在流淌
灵魂所向的地方
是生命重生的土壤
星阵轮转
密咒破障
夜蚀形声如幻
百步神行穿
乾坤如狂乱 我登场
勇字心中挂
万象为乐章 镇八方
奏响完美世界神话
梦为律
应龙鸣吟唱图腾的叱咤
愿以此身战 天下
静心咒轻扬
抚平你曾受过的伤
千机百弹狂
炮火编织天网
布火海刀山
一念间凌杀覆云川
剑劫化幻象
天火狂龙怒翔
天地一身霜
祖龙城风暖
龙鸣刀啸唤醒血脉的滚烫
临渊又何妨
越战越锋芒 无双
乾坤如狂乱 我登场
勇字心中挂
万象为乐章 镇八方
奏响完美世界神话
梦为律
应龙鸣吟唱图腾的叱咤
愿以此身战
乾坤如狂乱 我登场
勇字心中挂
万象为乐章 镇八方
奏响完美世界神话
梦为律
应龙鸣吟唱图腾的叱咤
愿以此身战 天下</t>
        </is>
      </c>
      <c r="E141" t="inlineStr">
        <is>
          <t>作词
郑志焕
作曲
逄博
编曲
彭轩</t>
        </is>
      </c>
      <c r="F141"/>
      <c r="G141" t="inlineStr">
        <is>
          <t>非原创曲目</t>
        </is>
      </c>
      <c r="H141" s="3" t="str">
        <f>=HYPERLINK("https://m.weibo.cn/status/5275946799858163?sourceType=weixin&amp;from=10G2295010&amp;wm=9847_0002&amp;s_channel=4&amp;s_trans=9guwopdQSJ5VS157%2B7LheQ%3D%3D_5275946799858163_s", "https://m.weibo.cn/status/5275946799858163?sourceType=weixin&amp;from=10G2295010&amp;wm=9847_0002&amp;s_channel=4&amp;s_trans=9guwopdQSJ5VS157%2B7LheQ%3D%3D_5275946799858163_s")</f>
        <v>https://m.weibo.cn/status/5275946799858163?sourceType=weixin&amp;from=10G2295010&amp;wm=9847_0002&amp;s_channel=4&amp;s_trans=9guwopdQSJ5VS157%2B7LheQ%3D%3D_5275946799858163_s</v>
      </c>
      <c r="I141" s="3"/>
      <c r="J141" t="inlineStr">
        <is>
          <t>https://c6.y.qq.com/base/fcgi-bin/u?__=9aF15kiaD5nu</t>
        </is>
      </c>
      <c r="K141"/>
      <c r="L141"/>
      <c r="M141" t="inlineStr">
        <is>
          <t>PlayerAlbumCover_890371571773332614564.jpg</t>
        </is>
      </c>
      <c r="N141" t="inlineStr">
        <is>
          <t>演唱</t>
        </is>
      </c>
      <c r="O141" s="3"/>
      <c r="P141"/>
      <c r="Q141" s="3"/>
      <c r="R141"/>
    </row>
    <row r="142" ht="25.5" customHeight="1">
      <c r="A142" t="inlineStr">
        <is>
          <t>Pachinko</t>
        </is>
      </c>
      <c r="B142" t="inlineStr">
        <is>
          <t>2018</t>
        </is>
      </c>
      <c r="C142" s="2">
        <v>43421</v>
      </c>
      <c r="D142" t="inlineStr">
        <is>
          <t>she lost her way， 她迷失了方向 ， without a second thought， 丝毫不怠， set the fire， 燃烧吧， set the fire， 释放吧， I hope you can find yourself， 希望你能找回迷失的本心， I don't get it， 我不懂， Why， 为什么， I don't get it， 我无法理解， Why are you telling me about you tonight， 你为什么要在今晚提起来关于你的那些事， Stay alive， 好好活着， Stay alive， 继续活下去， I hope you can find yourself， 愿你能做回自己， I don't get it， 我不懂， Why， 为什么， I don't get it， 我无法理解， Why are you telling me about you tonight， 你为什么要在今晚提起来关于你的那些事， All you know everything is gone， 你所知的一切都已消逝， Only the pachinko， 还剩下pachinko， So just don‘t give up or， 那就不要放弃， You'll lose it all， 否则你将一无所有， Oh you dont have to be alone， 你不必孤独一人的啊， Until the machine gone， 直到剩下最后一颗弹珠已经打光， You say your life‘s so bad and how to get on track， 你说你活得一团糟想着如何渐入佳境， Take it back， 把它讨回来， Take it back， 拿回， All I want， 我想要的一切， If I lose control， 可如果我无力掌控， Take a fall， 被击倒， you see they hold on tight， 你瞧他们紧紧握住不放， You said your life‘s so bad， 你说过你的生活糟透了， And how to get on track， 想过如何走入正轨， You stay and wait to dream， 你却停滞不前盼望着梦境来临， we’re gonna wait for A Frozen Second， 我们将要临来冻结的瞬间， I‘ll be the last till the end， 我会成为那个坚持到最后的人， Take it back， 把它讨回来， The place without you， 你不在这， If I lose control， 可如果我无法自控， Suicide， 想要一死了之， Unloaded gun， 枪还没有上膛， I was there with you， 想起与你共处的时光， That was so long ago， 那已成为我的回忆， live a lie， 活在谎言编织的世界中， with no one else， 没有别人存在， It's all about you， 全部都是关于你的一切， flood in the hole， 如井水泛滥般占据着我， So just don‘t give up or， 那就不要放弃， You'll lose it all， 否则你将一无所有， All u know everything is gone， 你所知的一切都已消逝， Only the pachinko， 还剩下pachinko， So just don‘t give up or， 那就不要放弃， You'll lose it all， 否则你将一无所有， Oh you dont have to be alone， 你大可不必孤独一人， Only the pachinko， 还有pachinko陪着你， set the fire， 燃烧吧， set the fire， 释放吧， I hope you can find yourself， 但愿你能找回迷失的本心， I don't get it， 我不懂， Why， 为什么， I don't get it， 我无法理解， Why are you telling me about you tonight， 你干嘛要在今晚提起来关于你的那些事， Stay alive， 好好活着， Stay alive， 继续活下去， I hope you can find yourself， 愿你能做回自己， I don't get it， 我不懂， Why， 为什么， I don't get it， 我无法理解， Why are you telling me about you tonight， 你干嘛要在今晚提起来关于你的那些事， All u know everything is gone， 你所知的一切都已消逝， Only the pachinko， 还剩下pachinko， So just don‘t give up or， 不要放弃，押上信念， You'll lose it all， 不然将成为错失一切的败者。
</t>
        </is>
      </c>
      <c r="E142" t="inlineStr">
        <is>
          <t>作词: 直惘乐队，
作曲: 直惘乐队，
编曲：直惘乐队，
混音：张宇煊、张星，
母带制作：张星，
演唱：雷声 白举纲，
萨克斯：李朗曦。</t>
        </is>
      </c>
      <c r="F142"/>
      <c r="G142" t="inlineStr">
        <is>
          <t>非原创曲目</t>
        </is>
      </c>
      <c r="H142" s="3"/>
      <c r="I142" s="3"/>
      <c r="J142" t="inlineStr">
        <is>
          <t>https://music.163.com/song?id=1326176139&amp;uct2=U2FsdGVkX1/qsEJ3fhtFAke3QIx0dsxMA281cz5OHY4=</t>
        </is>
      </c>
      <c r="K142"/>
      <c r="L142" t="inlineStr">
        <is>
          <t>直惘乐队</t>
        </is>
      </c>
      <c r="M142" t="inlineStr">
        <is>
          <t>image.png</t>
        </is>
      </c>
      <c r="N142" t="inlineStr">
        <is>
          <t>演唱</t>
        </is>
      </c>
      <c r="O142" s="3"/>
      <c r="P142"/>
      <c r="Q142" s="3"/>
      <c r="R142"/>
    </row>
    <row r="143" ht="25.5" customHeight="1">
      <c r="A143" t="inlineStr">
        <is>
          <t>平安夜BLue</t>
        </is>
      </c>
      <c r="B143" t="inlineStr">
        <is>
          <t>小小白</t>
        </is>
      </c>
      <c r="C143" s="2">
        <v>41267</v>
      </c>
      <c r="D143"/>
      <c r="E143"/>
      <c r="F143"/>
      <c r="G143" t="inlineStr">
        <is>
          <t>未正式发布单曲</t>
        </is>
      </c>
      <c r="H143" s="3"/>
      <c r="I143" s="3"/>
      <c r="J143" t="inlineStr">
        <is>
          <t>http://changba.com/s/HHqNzn9Y4so_ijAjoykqCQ?code=Gt1bjDM0qnHolo___BHP5wMQrp3RbDmuMb6imQQ1GyRQkxRnFFQQ3YmrJclf1htqC2moMMUeOYy2Hz9wiwoYKQ0ht0jRtT4M</t>
        </is>
      </c>
      <c r="K143"/>
      <c r="L143"/>
      <c r="M143" t="inlineStr">
        <is>
          <t>bdbbb3b48baf16ac486949d912136719.jpg</t>
        </is>
      </c>
      <c r="N143"/>
      <c r="O143" s="3"/>
      <c r="P143"/>
      <c r="Q143" s="3"/>
      <c r="R143"/>
    </row>
    <row r="144" ht="25.5" customHeight="1">
      <c r="A144" t="inlineStr">
        <is>
          <t>你真的太棒了</t>
        </is>
      </c>
      <c r="B144" t="inlineStr">
        <is>
          <t>2021</t>
        </is>
      </c>
      <c r="C144" s="2">
        <v>44223</v>
      </c>
      <c r="D144" t="inlineStr">
        <is>
          <t>合：，
你真的太棒了，
你真的太棒了，
你真的太棒了，
你真的真的真的真的太棒了，
蔡国庆，
快乐的旅途我从不愿停留，
打起劲 好朋友  都等在下个路口，
白举纲，
碧海与蓝天     山田和水流，
让疲惫 都出走  要拿第一你快出手，
沈梦辰，
翻山再越岭     只揣好一个梦，
做美好的推手   种草幸福不普通，
孙艺洲，
使出了浑身解数   做你的英雄，
沿途风景打包走，
合，
棒棒棒棒太棒了 你真的太棒了，
棒棒棒棒太棒了 你真的太棒了，
棒棒棒棒太棒了 你真的太棒了，
棒棒棒棒太棒了 你真的太棒了，
Rap:，
张国伟，
Yah~ hold on!! 别想先我一步  找到成功的密语，
听叮咚一声    我将站在创意无限的山顶，
马苏，
搜集爱的证据  留意如诗一般的心情，
(读:嘿，你真的太棒了)，
我早已超越每个自己，
蔡国庆，
变出好物的小精灵，
牵手吟唱甜蜜的进行曲，
谁说盒子里只有ABCD，
我偏不走人生的捷径，
沈梦辰，
当心 注意 别被 我骗过去，
我在这里 不会眨眼睛，
wait 你听 幸福被触摸得很清晰，
合，
你真的太棒了，
你真的太棒了，
你真的太棒了，
你真的真的真的真的太棒了，
孙艺洲，
快乐的历险我从不会失误，
好朋友  带好路 路上只剩下追逐，
张国伟，
暖阳送礼物     寒风骤起舞，
让孤岛 都相逢  人生难得糊又涂，
马苏，
琴声歌声浓     云卷云又舒，
来做我的对手   幸福传递寒加暑，
白举纲，
谁在偷听秘密   搜集了好物，
散播欢乐我超酷，
合，
棒棒棒棒太棒了 你真的太棒了，
棒棒棒棒太棒了 你真的太棒了，
棒棒棒棒太棒了 你真的太棒了，
棒棒棒棒太棒了 你真的太棒了，
合，
你真的太棒了，
你真的太棒了，
你真的太棒了，
你真的真的真的真的太棒了，
和音：王馨悦，
录音：东方同歌，
混音：王晨雨，
歌曲统筹：陈平 袁通 韩一鸣。</t>
        </is>
      </c>
      <c r="E144" t="inlineStr">
        <is>
          <t>作词: 蒯琀兮
作曲: 陈伟伦
编曲: 鹤这豹脾气/陈伟伦
制作人: 陈伟伦</t>
        </is>
      </c>
      <c r="F144"/>
      <c r="G144" t="inlineStr">
        <is>
          <t>非原创曲目</t>
        </is>
      </c>
      <c r="H144" s="3"/>
      <c r="I144" s="3"/>
      <c r="J144" t="inlineStr">
        <is>
          <t>分享蔡国庆/孙艺洲/马苏/沈梦辰/张国伟/白举纲的单曲《你真的太棒了 (综艺《你真的太棒了》同名主题曲)》: https://163cn.tv/5AlA69D (来自@网易云音乐)</t>
        </is>
      </c>
      <c r="K144"/>
      <c r="L144"/>
      <c r="M144" t="inlineStr">
        <is>
          <t>你真的太棒了_109951165663616715.jpg</t>
        </is>
      </c>
      <c r="N144" t="inlineStr">
        <is>
          <t>演唱</t>
        </is>
      </c>
      <c r="O144" s="3"/>
      <c r="P144"/>
      <c r="Q144" s="3"/>
      <c r="R144"/>
    </row>
    <row r="145" ht="25.5" customHeight="1">
      <c r="A145" t="inlineStr">
        <is>
          <t>永无止境</t>
        </is>
      </c>
      <c r="B145" t="inlineStr">
        <is>
          <t>2026</t>
        </is>
      </c>
      <c r="C145" s="2">
        <v>46136</v>
      </c>
      <c r="D145"/>
      <c r="E145"/>
      <c r="F145"/>
      <c r="G145" t="inlineStr">
        <is>
          <t>单曲</t>
        </is>
      </c>
      <c r="H145" s="3" t="str">
        <f>=HYPERLINK("https://video.weibo.com/show?fid=1034:5291014538068033", "https://video.weibo.com/show?fid=1034:5291014538068033")</f>
        <v>https://video.weibo.com/show?fid=1034:5291014538068033</v>
      </c>
      <c r="I145" s="3"/>
      <c r="J145"/>
      <c r="K145"/>
      <c r="L145"/>
      <c r="M145" t="inlineStr">
        <is>
          <t>IMG_20260424_115204.jpg</t>
        </is>
      </c>
      <c r="N145" t="inlineStr">
        <is>
          <t>演唱</t>
        </is>
      </c>
      <c r="O145" s="3"/>
      <c r="P145" t="inlineStr">
        <is>
          <t>《吞噬星空》剧场版《决战原始星》片尾曲</t>
        </is>
      </c>
      <c r="Q145" s="3"/>
      <c r="R145"/>
    </row>
  </sheetData>
  <dataValidations count="2">
    <dataValidation allowBlank="false" sqref="B2:B144" type="list">
      <formula1>"2026,2025,2024,2023,2022,2021,2020,2019,2018,2017,2016,2015,2014,2013,小小白,2014,2013"</formula1>
    </dataValidation>
    <dataValidation allowBlank="false" sqref="N2:N144" type="list">
      <formula1>"原创,非原创,作曲（合作创作）,作词（合作创作）,作词作曲（合作创作）,初创演员,演唱,制作人"</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